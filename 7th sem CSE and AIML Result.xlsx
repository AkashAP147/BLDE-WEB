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ESH\Desktop\"/>
    </mc:Choice>
  </mc:AlternateContent>
  <bookViews>
    <workbookView xWindow="0" yWindow="0" windowWidth="20490" windowHeight="7620" firstSheet="1" activeTab="5"/>
  </bookViews>
  <sheets>
    <sheet name=" 7th SEM CSE A DIV (2)" sheetId="20" r:id="rId1"/>
    <sheet name="CSE 7th SEM A DIV" sheetId="14" r:id="rId2"/>
    <sheet name="Sheet3" sheetId="21" r:id="rId3"/>
    <sheet name="CSE 7th semB Div" sheetId="17" r:id="rId4"/>
    <sheet name="AIML 7TH SEM(JAN-26)" sheetId="13" r:id="rId5"/>
    <sheet name=" 7th SEM CSE A DIV" sheetId="15" r:id="rId6"/>
    <sheet name="7th Sem CSE B" sheetId="18" r:id="rId7"/>
    <sheet name="7th Sem AIML" sheetId="16" r:id="rId8"/>
  </sheets>
  <definedNames>
    <definedName name="_xlnm._FilterDatabase" localSheetId="4" hidden="1">'AIML 7TH SEM(JAN-26)'!$A$10:$AT$74</definedName>
    <definedName name="_xlnm._FilterDatabase" localSheetId="1" hidden="1">'CSE 7th SEM A DIV'!$A$10:$AT$108</definedName>
    <definedName name="_xlnm._FilterDatabase" localSheetId="3" hidden="1">'CSE 7th semB Div'!$A$10:$AK$42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7" i="15" l="1"/>
  <c r="X18" i="15"/>
  <c r="X19" i="15"/>
  <c r="X20" i="15"/>
  <c r="X21" i="15"/>
  <c r="W17" i="15"/>
  <c r="W18" i="15"/>
  <c r="W19" i="15"/>
  <c r="W20" i="15"/>
  <c r="W21" i="15"/>
  <c r="W16" i="15"/>
  <c r="X16" i="15"/>
  <c r="G16" i="15"/>
  <c r="AF108" i="14"/>
  <c r="AG108" i="14" s="1"/>
  <c r="AH108" i="14" s="1"/>
  <c r="AA108" i="14"/>
  <c r="AB108" i="14" s="1"/>
  <c r="AC108" i="14" s="1"/>
  <c r="V108" i="14"/>
  <c r="W108" i="14" s="1"/>
  <c r="X108" i="14" s="1"/>
  <c r="Q108" i="14"/>
  <c r="R108" i="14" s="1"/>
  <c r="S108" i="14" s="1"/>
  <c r="L108" i="14"/>
  <c r="M108" i="14" s="1"/>
  <c r="N108" i="14" s="1"/>
  <c r="G108" i="14"/>
  <c r="H108" i="14" s="1"/>
  <c r="I108" i="14" s="1"/>
  <c r="AF107" i="14"/>
  <c r="AG107" i="14" s="1"/>
  <c r="AH107" i="14" s="1"/>
  <c r="AA107" i="14"/>
  <c r="AB107" i="14" s="1"/>
  <c r="AC107" i="14" s="1"/>
  <c r="V107" i="14"/>
  <c r="W107" i="14" s="1"/>
  <c r="X107" i="14" s="1"/>
  <c r="Q107" i="14"/>
  <c r="R107" i="14" s="1"/>
  <c r="S107" i="14" s="1"/>
  <c r="L107" i="14"/>
  <c r="M107" i="14" s="1"/>
  <c r="N107" i="14" s="1"/>
  <c r="G107" i="14"/>
  <c r="AF106" i="14"/>
  <c r="AG106" i="14" s="1"/>
  <c r="AH106" i="14" s="1"/>
  <c r="AA106" i="14"/>
  <c r="AB106" i="14" s="1"/>
  <c r="AC106" i="14" s="1"/>
  <c r="V106" i="14"/>
  <c r="W106" i="14" s="1"/>
  <c r="X106" i="14" s="1"/>
  <c r="Q106" i="14"/>
  <c r="R106" i="14" s="1"/>
  <c r="S106" i="14" s="1"/>
  <c r="L106" i="14"/>
  <c r="G106" i="14"/>
  <c r="H106" i="14" s="1"/>
  <c r="I106" i="14" s="1"/>
  <c r="AF105" i="14"/>
  <c r="AG105" i="14" s="1"/>
  <c r="AH105" i="14" s="1"/>
  <c r="AA105" i="14"/>
  <c r="AB105" i="14" s="1"/>
  <c r="AC105" i="14" s="1"/>
  <c r="V105" i="14"/>
  <c r="W105" i="14" s="1"/>
  <c r="X105" i="14" s="1"/>
  <c r="Q105" i="14"/>
  <c r="R105" i="14" s="1"/>
  <c r="S105" i="14" s="1"/>
  <c r="L105" i="14"/>
  <c r="M105" i="14" s="1"/>
  <c r="N105" i="14" s="1"/>
  <c r="G105" i="14"/>
  <c r="AF104" i="14"/>
  <c r="AG104" i="14" s="1"/>
  <c r="AH104" i="14" s="1"/>
  <c r="AA104" i="14"/>
  <c r="AB104" i="14" s="1"/>
  <c r="AC104" i="14" s="1"/>
  <c r="V104" i="14"/>
  <c r="W104" i="14" s="1"/>
  <c r="X104" i="14" s="1"/>
  <c r="Q104" i="14"/>
  <c r="R104" i="14" s="1"/>
  <c r="S104" i="14" s="1"/>
  <c r="L104" i="14"/>
  <c r="M104" i="14" s="1"/>
  <c r="N104" i="14" s="1"/>
  <c r="G104" i="14"/>
  <c r="H104" i="14" s="1"/>
  <c r="I104" i="14" s="1"/>
  <c r="AF103" i="14"/>
  <c r="AG103" i="14" s="1"/>
  <c r="AH103" i="14" s="1"/>
  <c r="AA103" i="14"/>
  <c r="AB103" i="14" s="1"/>
  <c r="AC103" i="14" s="1"/>
  <c r="V103" i="14"/>
  <c r="W103" i="14" s="1"/>
  <c r="X103" i="14" s="1"/>
  <c r="Q103" i="14"/>
  <c r="R103" i="14" s="1"/>
  <c r="S103" i="14" s="1"/>
  <c r="L103" i="14"/>
  <c r="M103" i="14" s="1"/>
  <c r="N103" i="14" s="1"/>
  <c r="G103" i="14"/>
  <c r="H103" i="14" s="1"/>
  <c r="I103" i="14" s="1"/>
  <c r="AF102" i="14"/>
  <c r="AG102" i="14" s="1"/>
  <c r="AH102" i="14" s="1"/>
  <c r="AA102" i="14"/>
  <c r="AB102" i="14" s="1"/>
  <c r="AC102" i="14" s="1"/>
  <c r="V102" i="14"/>
  <c r="W102" i="14" s="1"/>
  <c r="X102" i="14" s="1"/>
  <c r="Q102" i="14"/>
  <c r="R102" i="14" s="1"/>
  <c r="S102" i="14" s="1"/>
  <c r="L102" i="14"/>
  <c r="M102" i="14" s="1"/>
  <c r="N102" i="14" s="1"/>
  <c r="I102" i="14"/>
  <c r="G102" i="14"/>
  <c r="H102" i="14" s="1"/>
  <c r="AF101" i="14"/>
  <c r="AG101" i="14" s="1"/>
  <c r="AH101" i="14" s="1"/>
  <c r="AA101" i="14"/>
  <c r="AB101" i="14" s="1"/>
  <c r="AC101" i="14" s="1"/>
  <c r="V101" i="14"/>
  <c r="W101" i="14" s="1"/>
  <c r="X101" i="14" s="1"/>
  <c r="Q101" i="14"/>
  <c r="R101" i="14" s="1"/>
  <c r="S101" i="14" s="1"/>
  <c r="L101" i="14"/>
  <c r="M101" i="14" s="1"/>
  <c r="N101" i="14" s="1"/>
  <c r="I101" i="14"/>
  <c r="G101" i="14"/>
  <c r="H101" i="14" s="1"/>
  <c r="AF100" i="14"/>
  <c r="AG100" i="14" s="1"/>
  <c r="AH100" i="14" s="1"/>
  <c r="AA100" i="14"/>
  <c r="AB100" i="14" s="1"/>
  <c r="AC100" i="14" s="1"/>
  <c r="V100" i="14"/>
  <c r="W100" i="14" s="1"/>
  <c r="X100" i="14" s="1"/>
  <c r="Q100" i="14"/>
  <c r="R100" i="14" s="1"/>
  <c r="S100" i="14" s="1"/>
  <c r="L100" i="14"/>
  <c r="G100" i="14"/>
  <c r="H100" i="14" s="1"/>
  <c r="I100" i="14" s="1"/>
  <c r="AF99" i="14"/>
  <c r="AG99" i="14" s="1"/>
  <c r="AH99" i="14" s="1"/>
  <c r="AA99" i="14"/>
  <c r="AB99" i="14" s="1"/>
  <c r="AC99" i="14" s="1"/>
  <c r="V99" i="14"/>
  <c r="W99" i="14" s="1"/>
  <c r="X99" i="14" s="1"/>
  <c r="Q99" i="14"/>
  <c r="R99" i="14" s="1"/>
  <c r="S99" i="14" s="1"/>
  <c r="L99" i="14"/>
  <c r="M99" i="14" s="1"/>
  <c r="N99" i="14" s="1"/>
  <c r="G99" i="14"/>
  <c r="AF98" i="14"/>
  <c r="AG98" i="14" s="1"/>
  <c r="AH98" i="14" s="1"/>
  <c r="AA98" i="14"/>
  <c r="AB98" i="14" s="1"/>
  <c r="AC98" i="14" s="1"/>
  <c r="V98" i="14"/>
  <c r="W98" i="14" s="1"/>
  <c r="X98" i="14" s="1"/>
  <c r="Q98" i="14"/>
  <c r="R98" i="14" s="1"/>
  <c r="S98" i="14" s="1"/>
  <c r="L98" i="14"/>
  <c r="M98" i="14" s="1"/>
  <c r="N98" i="14" s="1"/>
  <c r="G98" i="14"/>
  <c r="H98" i="14" s="1"/>
  <c r="I98" i="14" s="1"/>
  <c r="AF97" i="14"/>
  <c r="AG97" i="14" s="1"/>
  <c r="AH97" i="14" s="1"/>
  <c r="AA97" i="14"/>
  <c r="AB97" i="14" s="1"/>
  <c r="AC97" i="14" s="1"/>
  <c r="V97" i="14"/>
  <c r="W97" i="14" s="1"/>
  <c r="X97" i="14" s="1"/>
  <c r="Q97" i="14"/>
  <c r="R97" i="14" s="1"/>
  <c r="S97" i="14" s="1"/>
  <c r="L97" i="14"/>
  <c r="M97" i="14" s="1"/>
  <c r="N97" i="14" s="1"/>
  <c r="G97" i="14"/>
  <c r="H97" i="14" s="1"/>
  <c r="I97" i="14" s="1"/>
  <c r="AF96" i="14"/>
  <c r="AG96" i="14" s="1"/>
  <c r="AH96" i="14" s="1"/>
  <c r="AA96" i="14"/>
  <c r="AB96" i="14" s="1"/>
  <c r="AC96" i="14" s="1"/>
  <c r="V96" i="14"/>
  <c r="W96" i="14" s="1"/>
  <c r="X96" i="14" s="1"/>
  <c r="Q96" i="14"/>
  <c r="R96" i="14" s="1"/>
  <c r="S96" i="14" s="1"/>
  <c r="L96" i="14"/>
  <c r="M96" i="14" s="1"/>
  <c r="N96" i="14" s="1"/>
  <c r="G96" i="14"/>
  <c r="AF95" i="14"/>
  <c r="AG95" i="14" s="1"/>
  <c r="AH95" i="14" s="1"/>
  <c r="AA95" i="14"/>
  <c r="AB95" i="14" s="1"/>
  <c r="AC95" i="14" s="1"/>
  <c r="V95" i="14"/>
  <c r="W95" i="14" s="1"/>
  <c r="X95" i="14" s="1"/>
  <c r="Q95" i="14"/>
  <c r="R95" i="14" s="1"/>
  <c r="S95" i="14" s="1"/>
  <c r="L95" i="14"/>
  <c r="M95" i="14" s="1"/>
  <c r="N95" i="14" s="1"/>
  <c r="G95" i="14"/>
  <c r="AF94" i="14"/>
  <c r="AG94" i="14" s="1"/>
  <c r="AH94" i="14" s="1"/>
  <c r="AA94" i="14"/>
  <c r="AB94" i="14" s="1"/>
  <c r="AC94" i="14" s="1"/>
  <c r="V94" i="14"/>
  <c r="W94" i="14" s="1"/>
  <c r="X94" i="14" s="1"/>
  <c r="Q94" i="14"/>
  <c r="R94" i="14" s="1"/>
  <c r="S94" i="14" s="1"/>
  <c r="L94" i="14"/>
  <c r="M94" i="14" s="1"/>
  <c r="N94" i="14" s="1"/>
  <c r="G94" i="14"/>
  <c r="H94" i="14" s="1"/>
  <c r="I94" i="14" s="1"/>
  <c r="AF93" i="14"/>
  <c r="AG93" i="14" s="1"/>
  <c r="AH93" i="14" s="1"/>
  <c r="AA93" i="14"/>
  <c r="AB93" i="14" s="1"/>
  <c r="AC93" i="14" s="1"/>
  <c r="V93" i="14"/>
  <c r="W93" i="14" s="1"/>
  <c r="X93" i="14" s="1"/>
  <c r="Q93" i="14"/>
  <c r="R93" i="14" s="1"/>
  <c r="S93" i="14" s="1"/>
  <c r="L93" i="14"/>
  <c r="M93" i="14" s="1"/>
  <c r="N93" i="14" s="1"/>
  <c r="G93" i="14"/>
  <c r="H93" i="14" s="1"/>
  <c r="I93" i="14" s="1"/>
  <c r="AF92" i="14"/>
  <c r="AG92" i="14" s="1"/>
  <c r="AH92" i="14" s="1"/>
  <c r="AA92" i="14"/>
  <c r="AB92" i="14" s="1"/>
  <c r="AC92" i="14" s="1"/>
  <c r="V92" i="14"/>
  <c r="W92" i="14" s="1"/>
  <c r="X92" i="14" s="1"/>
  <c r="Q92" i="14"/>
  <c r="R92" i="14" s="1"/>
  <c r="S92" i="14" s="1"/>
  <c r="L92" i="14"/>
  <c r="M92" i="14" s="1"/>
  <c r="N92" i="14" s="1"/>
  <c r="G92" i="14"/>
  <c r="AF91" i="14"/>
  <c r="AG91" i="14" s="1"/>
  <c r="AH91" i="14" s="1"/>
  <c r="AA91" i="14"/>
  <c r="AB91" i="14" s="1"/>
  <c r="AC91" i="14" s="1"/>
  <c r="V91" i="14"/>
  <c r="W91" i="14" s="1"/>
  <c r="X91" i="14" s="1"/>
  <c r="Q91" i="14"/>
  <c r="R91" i="14" s="1"/>
  <c r="S91" i="14" s="1"/>
  <c r="L91" i="14"/>
  <c r="M91" i="14" s="1"/>
  <c r="N91" i="14" s="1"/>
  <c r="G91" i="14"/>
  <c r="AF90" i="14"/>
  <c r="AG90" i="14" s="1"/>
  <c r="AH90" i="14" s="1"/>
  <c r="AA90" i="14"/>
  <c r="AB90" i="14" s="1"/>
  <c r="AC90" i="14" s="1"/>
  <c r="V90" i="14"/>
  <c r="W90" i="14" s="1"/>
  <c r="X90" i="14" s="1"/>
  <c r="Q90" i="14"/>
  <c r="R90" i="14" s="1"/>
  <c r="S90" i="14" s="1"/>
  <c r="L90" i="14"/>
  <c r="M90" i="14" s="1"/>
  <c r="N90" i="14" s="1"/>
  <c r="G90" i="14"/>
  <c r="AF89" i="14"/>
  <c r="AG89" i="14" s="1"/>
  <c r="AH89" i="14" s="1"/>
  <c r="AA89" i="14"/>
  <c r="AB89" i="14" s="1"/>
  <c r="AC89" i="14" s="1"/>
  <c r="V89" i="14"/>
  <c r="W89" i="14" s="1"/>
  <c r="X89" i="14" s="1"/>
  <c r="Q89" i="14"/>
  <c r="R89" i="14" s="1"/>
  <c r="S89" i="14" s="1"/>
  <c r="L89" i="14"/>
  <c r="M89" i="14" s="1"/>
  <c r="N89" i="14" s="1"/>
  <c r="G89" i="14"/>
  <c r="H89" i="14" s="1"/>
  <c r="I89" i="14" s="1"/>
  <c r="AF88" i="14"/>
  <c r="AG88" i="14" s="1"/>
  <c r="AH88" i="14" s="1"/>
  <c r="AA88" i="14"/>
  <c r="AB88" i="14" s="1"/>
  <c r="AC88" i="14" s="1"/>
  <c r="V88" i="14"/>
  <c r="Q88" i="14"/>
  <c r="R88" i="14" s="1"/>
  <c r="S88" i="14" s="1"/>
  <c r="L88" i="14"/>
  <c r="M88" i="14" s="1"/>
  <c r="N88" i="14" s="1"/>
  <c r="G88" i="14"/>
  <c r="H88" i="14" s="1"/>
  <c r="I88" i="14" s="1"/>
  <c r="AF87" i="14"/>
  <c r="AG87" i="14" s="1"/>
  <c r="AH87" i="14" s="1"/>
  <c r="AA87" i="14"/>
  <c r="AB87" i="14" s="1"/>
  <c r="AC87" i="14" s="1"/>
  <c r="V87" i="14"/>
  <c r="W87" i="14" s="1"/>
  <c r="X87" i="14" s="1"/>
  <c r="Q87" i="14"/>
  <c r="R87" i="14" s="1"/>
  <c r="S87" i="14" s="1"/>
  <c r="L87" i="14"/>
  <c r="M87" i="14" s="1"/>
  <c r="N87" i="14" s="1"/>
  <c r="G87" i="14"/>
  <c r="AF86" i="14"/>
  <c r="AG86" i="14" s="1"/>
  <c r="AH86" i="14" s="1"/>
  <c r="AA86" i="14"/>
  <c r="AB86" i="14" s="1"/>
  <c r="AC86" i="14" s="1"/>
  <c r="V86" i="14"/>
  <c r="W86" i="14" s="1"/>
  <c r="X86" i="14" s="1"/>
  <c r="Q86" i="14"/>
  <c r="R86" i="14" s="1"/>
  <c r="S86" i="14" s="1"/>
  <c r="L86" i="14"/>
  <c r="M86" i="14" s="1"/>
  <c r="N86" i="14" s="1"/>
  <c r="G86" i="14"/>
  <c r="AF85" i="14"/>
  <c r="AG85" i="14" s="1"/>
  <c r="AH85" i="14" s="1"/>
  <c r="AA85" i="14"/>
  <c r="AB85" i="14" s="1"/>
  <c r="AC85" i="14" s="1"/>
  <c r="V85" i="14"/>
  <c r="W85" i="14" s="1"/>
  <c r="X85" i="14" s="1"/>
  <c r="Q85" i="14"/>
  <c r="R85" i="14" s="1"/>
  <c r="S85" i="14" s="1"/>
  <c r="L85" i="14"/>
  <c r="G85" i="14"/>
  <c r="H85" i="14" s="1"/>
  <c r="I85" i="14" s="1"/>
  <c r="AF84" i="14"/>
  <c r="AG84" i="14" s="1"/>
  <c r="AH84" i="14" s="1"/>
  <c r="AA84" i="14"/>
  <c r="AB84" i="14" s="1"/>
  <c r="AC84" i="14" s="1"/>
  <c r="V84" i="14"/>
  <c r="W84" i="14" s="1"/>
  <c r="X84" i="14" s="1"/>
  <c r="Q84" i="14"/>
  <c r="R84" i="14" s="1"/>
  <c r="S84" i="14" s="1"/>
  <c r="L84" i="14"/>
  <c r="M84" i="14" s="1"/>
  <c r="N84" i="14" s="1"/>
  <c r="G84" i="14"/>
  <c r="AF83" i="14"/>
  <c r="AG83" i="14" s="1"/>
  <c r="AH83" i="14" s="1"/>
  <c r="AA83" i="14"/>
  <c r="AB83" i="14" s="1"/>
  <c r="AC83" i="14" s="1"/>
  <c r="V83" i="14"/>
  <c r="W83" i="14" s="1"/>
  <c r="X83" i="14" s="1"/>
  <c r="Q83" i="14"/>
  <c r="R83" i="14" s="1"/>
  <c r="S83" i="14" s="1"/>
  <c r="L83" i="14"/>
  <c r="M83" i="14" s="1"/>
  <c r="N83" i="14" s="1"/>
  <c r="G83" i="14"/>
  <c r="H83" i="14" s="1"/>
  <c r="I83" i="14" s="1"/>
  <c r="AF82" i="14"/>
  <c r="AG82" i="14" s="1"/>
  <c r="AH82" i="14" s="1"/>
  <c r="AA82" i="14"/>
  <c r="AB82" i="14" s="1"/>
  <c r="AC82" i="14" s="1"/>
  <c r="V82" i="14"/>
  <c r="W82" i="14" s="1"/>
  <c r="X82" i="14" s="1"/>
  <c r="Q82" i="14"/>
  <c r="R82" i="14" s="1"/>
  <c r="S82" i="14" s="1"/>
  <c r="L82" i="14"/>
  <c r="M82" i="14" s="1"/>
  <c r="N82" i="14" s="1"/>
  <c r="G82" i="14"/>
  <c r="H82" i="14" s="1"/>
  <c r="I82" i="14" s="1"/>
  <c r="AF81" i="14"/>
  <c r="AG81" i="14" s="1"/>
  <c r="AH81" i="14" s="1"/>
  <c r="AA81" i="14"/>
  <c r="AB81" i="14" s="1"/>
  <c r="AC81" i="14" s="1"/>
  <c r="V81" i="14"/>
  <c r="W81" i="14" s="1"/>
  <c r="X81" i="14" s="1"/>
  <c r="Q81" i="14"/>
  <c r="N81" i="14"/>
  <c r="L81" i="14"/>
  <c r="M81" i="14" s="1"/>
  <c r="G81" i="14"/>
  <c r="H81" i="14" s="1"/>
  <c r="I81" i="14" s="1"/>
  <c r="AF80" i="14"/>
  <c r="AG80" i="14" s="1"/>
  <c r="AH80" i="14" s="1"/>
  <c r="AA80" i="14"/>
  <c r="AB80" i="14" s="1"/>
  <c r="AC80" i="14" s="1"/>
  <c r="V80" i="14"/>
  <c r="W80" i="14" s="1"/>
  <c r="X80" i="14" s="1"/>
  <c r="Q80" i="14"/>
  <c r="R80" i="14" s="1"/>
  <c r="S80" i="14" s="1"/>
  <c r="L80" i="14"/>
  <c r="G80" i="14"/>
  <c r="H80" i="14" s="1"/>
  <c r="I80" i="14" s="1"/>
  <c r="AF79" i="14"/>
  <c r="AG79" i="14" s="1"/>
  <c r="AH79" i="14" s="1"/>
  <c r="AA79" i="14"/>
  <c r="AB79" i="14" s="1"/>
  <c r="AC79" i="14" s="1"/>
  <c r="V79" i="14"/>
  <c r="W79" i="14" s="1"/>
  <c r="X79" i="14" s="1"/>
  <c r="Q79" i="14"/>
  <c r="R79" i="14" s="1"/>
  <c r="S79" i="14" s="1"/>
  <c r="L79" i="14"/>
  <c r="M79" i="14" s="1"/>
  <c r="N79" i="14" s="1"/>
  <c r="G79" i="14"/>
  <c r="AF78" i="14"/>
  <c r="AG78" i="14" s="1"/>
  <c r="AH78" i="14" s="1"/>
  <c r="AA78" i="14"/>
  <c r="AB78" i="14" s="1"/>
  <c r="AC78" i="14" s="1"/>
  <c r="V78" i="14"/>
  <c r="W78" i="14" s="1"/>
  <c r="X78" i="14" s="1"/>
  <c r="Q78" i="14"/>
  <c r="R78" i="14" s="1"/>
  <c r="S78" i="14" s="1"/>
  <c r="L78" i="14"/>
  <c r="M78" i="14" s="1"/>
  <c r="N78" i="14" s="1"/>
  <c r="G78" i="14"/>
  <c r="H78" i="14" s="1"/>
  <c r="I78" i="14" s="1"/>
  <c r="AF77" i="14"/>
  <c r="AG77" i="14" s="1"/>
  <c r="AH77" i="14" s="1"/>
  <c r="AA77" i="14"/>
  <c r="AB77" i="14" s="1"/>
  <c r="AC77" i="14" s="1"/>
  <c r="V77" i="14"/>
  <c r="W77" i="14" s="1"/>
  <c r="X77" i="14" s="1"/>
  <c r="Q77" i="14"/>
  <c r="L77" i="14"/>
  <c r="M77" i="14" s="1"/>
  <c r="N77" i="14" s="1"/>
  <c r="G77" i="14"/>
  <c r="H77" i="14" s="1"/>
  <c r="I77" i="14" s="1"/>
  <c r="AI88" i="14" l="1"/>
  <c r="AJ79" i="14"/>
  <c r="AK79" i="14" s="1"/>
  <c r="AI96" i="14"/>
  <c r="AI81" i="14"/>
  <c r="AJ86" i="14"/>
  <c r="AK86" i="14" s="1"/>
  <c r="W88" i="14"/>
  <c r="X88" i="14" s="1"/>
  <c r="AI92" i="14"/>
  <c r="AI77" i="14"/>
  <c r="AI83" i="14"/>
  <c r="AI85" i="14"/>
  <c r="H92" i="14"/>
  <c r="I92" i="14" s="1"/>
  <c r="AJ108" i="14"/>
  <c r="AK108" i="14" s="1"/>
  <c r="AJ84" i="14"/>
  <c r="AK84" i="14" s="1"/>
  <c r="AI101" i="14"/>
  <c r="AI102" i="14"/>
  <c r="AI103" i="14"/>
  <c r="AJ107" i="14"/>
  <c r="AK107" i="14" s="1"/>
  <c r="AI78" i="14"/>
  <c r="AI80" i="14"/>
  <c r="AJ87" i="14"/>
  <c r="AK87" i="14" s="1"/>
  <c r="H96" i="14"/>
  <c r="I96" i="14" s="1"/>
  <c r="AJ101" i="14"/>
  <c r="AJ102" i="14"/>
  <c r="AJ103" i="14"/>
  <c r="AK103" i="14" s="1"/>
  <c r="AJ104" i="14"/>
  <c r="AK104" i="14" s="1"/>
  <c r="H107" i="14"/>
  <c r="I107" i="14" s="1"/>
  <c r="AI82" i="14"/>
  <c r="AJ99" i="14"/>
  <c r="AK99" i="14" s="1"/>
  <c r="AI99" i="14"/>
  <c r="H99" i="14"/>
  <c r="I99" i="14" s="1"/>
  <c r="AI100" i="14"/>
  <c r="M100" i="14"/>
  <c r="N100" i="14" s="1"/>
  <c r="R77" i="14"/>
  <c r="S77" i="14" s="1"/>
  <c r="AJ77" i="14"/>
  <c r="AK77" i="14" s="1"/>
  <c r="H79" i="14"/>
  <c r="I79" i="14" s="1"/>
  <c r="M80" i="14"/>
  <c r="N80" i="14" s="1"/>
  <c r="R81" i="14"/>
  <c r="S81" i="14" s="1"/>
  <c r="AJ81" i="14"/>
  <c r="AJ82" i="14"/>
  <c r="AK82" i="14" s="1"/>
  <c r="H84" i="14"/>
  <c r="I84" i="14" s="1"/>
  <c r="M85" i="14"/>
  <c r="N85" i="14" s="1"/>
  <c r="AJ88" i="14"/>
  <c r="AK88" i="14" s="1"/>
  <c r="AI89" i="14"/>
  <c r="AI91" i="14"/>
  <c r="H91" i="14"/>
  <c r="I91" i="14" s="1"/>
  <c r="AJ91" i="14"/>
  <c r="AK91" i="14" s="1"/>
  <c r="AJ92" i="14"/>
  <c r="AK92" i="14" s="1"/>
  <c r="AI93" i="14"/>
  <c r="AI95" i="14"/>
  <c r="H95" i="14"/>
  <c r="I95" i="14" s="1"/>
  <c r="AJ95" i="14"/>
  <c r="AK95" i="14" s="1"/>
  <c r="AJ96" i="14"/>
  <c r="AK96" i="14" s="1"/>
  <c r="AI97" i="14"/>
  <c r="AJ105" i="14"/>
  <c r="AK105" i="14" s="1"/>
  <c r="AI105" i="14"/>
  <c r="H105" i="14"/>
  <c r="I105" i="14" s="1"/>
  <c r="AI106" i="14"/>
  <c r="M106" i="14"/>
  <c r="N106" i="14" s="1"/>
  <c r="AJ78" i="14"/>
  <c r="AK78" i="14" s="1"/>
  <c r="AI79" i="14"/>
  <c r="AJ83" i="14"/>
  <c r="AK83" i="14" s="1"/>
  <c r="AI84" i="14"/>
  <c r="AI86" i="14"/>
  <c r="AJ89" i="14"/>
  <c r="AK89" i="14" s="1"/>
  <c r="AJ90" i="14"/>
  <c r="AK90" i="14" s="1"/>
  <c r="AI90" i="14"/>
  <c r="AJ93" i="14"/>
  <c r="AK93" i="14" s="1"/>
  <c r="AJ94" i="14"/>
  <c r="AK94" i="14" s="1"/>
  <c r="AI94" i="14"/>
  <c r="AJ97" i="14"/>
  <c r="AK97" i="14" s="1"/>
  <c r="AJ98" i="14"/>
  <c r="AK98" i="14" s="1"/>
  <c r="AI98" i="14"/>
  <c r="AJ100" i="14"/>
  <c r="AK100" i="14" s="1"/>
  <c r="AJ80" i="14"/>
  <c r="AK80" i="14" s="1"/>
  <c r="AJ85" i="14"/>
  <c r="AK85" i="14" s="1"/>
  <c r="H86" i="14"/>
  <c r="I86" i="14" s="1"/>
  <c r="AI87" i="14"/>
  <c r="H87" i="14"/>
  <c r="I87" i="14" s="1"/>
  <c r="H90" i="14"/>
  <c r="I90" i="14" s="1"/>
  <c r="AJ106" i="14"/>
  <c r="AK106" i="14" s="1"/>
  <c r="AI107" i="14"/>
  <c r="AI104" i="14"/>
  <c r="AI108" i="14"/>
  <c r="I12" i="16"/>
  <c r="X19" i="16"/>
  <c r="X20" i="16"/>
  <c r="X21" i="16"/>
  <c r="X18" i="16"/>
  <c r="W17" i="16"/>
  <c r="W18" i="16"/>
  <c r="W19" i="16"/>
  <c r="W20" i="16"/>
  <c r="W21" i="16"/>
  <c r="W16" i="16"/>
  <c r="X17" i="16"/>
  <c r="X16" i="16"/>
  <c r="W16" i="18"/>
  <c r="M7" i="18"/>
  <c r="M8" i="18"/>
  <c r="M9" i="18"/>
  <c r="M10" i="18"/>
  <c r="M11" i="18"/>
  <c r="M6" i="18"/>
  <c r="Z21" i="20"/>
  <c r="Y21" i="20"/>
  <c r="AB21" i="20" s="1"/>
  <c r="X21" i="20"/>
  <c r="AA21" i="20" s="1"/>
  <c r="W21" i="20"/>
  <c r="V21" i="20"/>
  <c r="S21" i="20"/>
  <c r="P21" i="20"/>
  <c r="M21" i="20"/>
  <c r="J21" i="20"/>
  <c r="G21" i="20"/>
  <c r="Z20" i="20"/>
  <c r="Y20" i="20"/>
  <c r="AB20" i="20" s="1"/>
  <c r="X20" i="20"/>
  <c r="AA20" i="20" s="1"/>
  <c r="W20" i="20"/>
  <c r="V20" i="20"/>
  <c r="S20" i="20"/>
  <c r="P20" i="20"/>
  <c r="M20" i="20"/>
  <c r="J20" i="20"/>
  <c r="G20" i="20"/>
  <c r="Z19" i="20"/>
  <c r="Y19" i="20"/>
  <c r="AB19" i="20" s="1"/>
  <c r="X19" i="20"/>
  <c r="AA19" i="20" s="1"/>
  <c r="W19" i="20"/>
  <c r="V19" i="20"/>
  <c r="S19" i="20"/>
  <c r="P19" i="20"/>
  <c r="M19" i="20"/>
  <c r="J19" i="20"/>
  <c r="G19" i="20"/>
  <c r="Z18" i="20"/>
  <c r="Y18" i="20"/>
  <c r="AB18" i="20" s="1"/>
  <c r="X18" i="20"/>
  <c r="AA18" i="20" s="1"/>
  <c r="W18" i="20"/>
  <c r="V18" i="20"/>
  <c r="S18" i="20"/>
  <c r="P18" i="20"/>
  <c r="M18" i="20"/>
  <c r="J18" i="20"/>
  <c r="G18" i="20"/>
  <c r="Z17" i="20"/>
  <c r="Y17" i="20"/>
  <c r="AB17" i="20" s="1"/>
  <c r="X17" i="20"/>
  <c r="AA17" i="20" s="1"/>
  <c r="W17" i="20"/>
  <c r="V17" i="20"/>
  <c r="S17" i="20"/>
  <c r="P17" i="20"/>
  <c r="M17" i="20"/>
  <c r="J17" i="20"/>
  <c r="G17" i="20"/>
  <c r="Z16" i="20"/>
  <c r="Y16" i="20"/>
  <c r="AB16" i="20" s="1"/>
  <c r="X16" i="20"/>
  <c r="AA16" i="20" s="1"/>
  <c r="W16" i="20"/>
  <c r="V16" i="20"/>
  <c r="S16" i="20"/>
  <c r="P16" i="20"/>
  <c r="M16" i="20"/>
  <c r="J16" i="20"/>
  <c r="G16" i="20"/>
  <c r="K12" i="20"/>
  <c r="I12" i="20"/>
  <c r="M11" i="20"/>
  <c r="M12" i="20" s="1"/>
  <c r="M10" i="20"/>
  <c r="M9" i="20"/>
  <c r="M8" i="20"/>
  <c r="M7" i="20"/>
  <c r="M6" i="20"/>
  <c r="M5" i="20"/>
  <c r="V19" i="15"/>
  <c r="M7" i="15"/>
  <c r="M8" i="15"/>
  <c r="M9" i="15"/>
  <c r="M10" i="15"/>
  <c r="M11" i="15"/>
  <c r="M6" i="15"/>
  <c r="AH40" i="13"/>
  <c r="S26" i="13"/>
  <c r="N17" i="13"/>
  <c r="N43" i="13"/>
  <c r="G36" i="17" l="1"/>
  <c r="AA18" i="17"/>
  <c r="Q76" i="14"/>
  <c r="G56" i="14"/>
  <c r="V12" i="14"/>
  <c r="W12" i="14" s="1"/>
  <c r="V13" i="14"/>
  <c r="W13" i="14" s="1"/>
  <c r="V14" i="14"/>
  <c r="W14" i="14" s="1"/>
  <c r="V15" i="14"/>
  <c r="W15" i="14" s="1"/>
  <c r="V16" i="14"/>
  <c r="W16" i="14" s="1"/>
  <c r="V17" i="14"/>
  <c r="W17" i="14" s="1"/>
  <c r="V18" i="14"/>
  <c r="W18" i="14" s="1"/>
  <c r="V19" i="14"/>
  <c r="W19" i="14" s="1"/>
  <c r="V20" i="14"/>
  <c r="W20" i="14" s="1"/>
  <c r="V21" i="14"/>
  <c r="W21" i="14" s="1"/>
  <c r="V22" i="14"/>
  <c r="W22" i="14" s="1"/>
  <c r="V23" i="14"/>
  <c r="W23" i="14" s="1"/>
  <c r="V24" i="14"/>
  <c r="W24" i="14" s="1"/>
  <c r="V25" i="14"/>
  <c r="W25" i="14" s="1"/>
  <c r="V26" i="14"/>
  <c r="W26" i="14" s="1"/>
  <c r="V27" i="14"/>
  <c r="W27" i="14" s="1"/>
  <c r="V28" i="14"/>
  <c r="W28" i="14" s="1"/>
  <c r="V29" i="14"/>
  <c r="W29" i="14" s="1"/>
  <c r="V30" i="14"/>
  <c r="W30" i="14" s="1"/>
  <c r="V31" i="14"/>
  <c r="W31" i="14" s="1"/>
  <c r="V32" i="14"/>
  <c r="W32" i="14" s="1"/>
  <c r="V33" i="14"/>
  <c r="W33" i="14" s="1"/>
  <c r="V34" i="14"/>
  <c r="W34" i="14" s="1"/>
  <c r="V35" i="14"/>
  <c r="W35" i="14" s="1"/>
  <c r="V36" i="14"/>
  <c r="W36" i="14" s="1"/>
  <c r="V37" i="14"/>
  <c r="W37" i="14" s="1"/>
  <c r="V38" i="14"/>
  <c r="W38" i="14" s="1"/>
  <c r="V39" i="14"/>
  <c r="W39" i="14" s="1"/>
  <c r="V40" i="14"/>
  <c r="W40" i="14" s="1"/>
  <c r="V41" i="14"/>
  <c r="W41" i="14" s="1"/>
  <c r="V42" i="14"/>
  <c r="W42" i="14" s="1"/>
  <c r="V43" i="14"/>
  <c r="W43" i="14" s="1"/>
  <c r="V44" i="14"/>
  <c r="W44" i="14" s="1"/>
  <c r="V45" i="14"/>
  <c r="W45" i="14" s="1"/>
  <c r="V46" i="14"/>
  <c r="W46" i="14" s="1"/>
  <c r="V47" i="14"/>
  <c r="W47" i="14" s="1"/>
  <c r="V48" i="14"/>
  <c r="W48" i="14" s="1"/>
  <c r="V49" i="14"/>
  <c r="W49" i="14" s="1"/>
  <c r="V50" i="14"/>
  <c r="W50" i="14" s="1"/>
  <c r="V51" i="14"/>
  <c r="W51" i="14" s="1"/>
  <c r="V52" i="14"/>
  <c r="W52" i="14" s="1"/>
  <c r="V53" i="14"/>
  <c r="W53" i="14" s="1"/>
  <c r="V54" i="14"/>
  <c r="W54" i="14" s="1"/>
  <c r="V55" i="14"/>
  <c r="W55" i="14" s="1"/>
  <c r="V56" i="14"/>
  <c r="W56" i="14" s="1"/>
  <c r="V57" i="14"/>
  <c r="W57" i="14" s="1"/>
  <c r="V58" i="14"/>
  <c r="W58" i="14" s="1"/>
  <c r="V59" i="14"/>
  <c r="W59" i="14" s="1"/>
  <c r="V60" i="14"/>
  <c r="W60" i="14" s="1"/>
  <c r="V61" i="14"/>
  <c r="W61" i="14" s="1"/>
  <c r="V62" i="14"/>
  <c r="W62" i="14" s="1"/>
  <c r="V63" i="14"/>
  <c r="W63" i="14" s="1"/>
  <c r="V64" i="14"/>
  <c r="W64" i="14" s="1"/>
  <c r="V65" i="14"/>
  <c r="W65" i="14" s="1"/>
  <c r="V66" i="14"/>
  <c r="W66" i="14" s="1"/>
  <c r="V67" i="14"/>
  <c r="W67" i="14" s="1"/>
  <c r="V68" i="14"/>
  <c r="W68" i="14" s="1"/>
  <c r="V69" i="14"/>
  <c r="W69" i="14" s="1"/>
  <c r="V70" i="14"/>
  <c r="W70" i="14" s="1"/>
  <c r="V71" i="14"/>
  <c r="W71" i="14" s="1"/>
  <c r="V72" i="14"/>
  <c r="W72" i="14" s="1"/>
  <c r="V73" i="14"/>
  <c r="W73" i="14" s="1"/>
  <c r="V74" i="14"/>
  <c r="W74" i="14" s="1"/>
  <c r="V75" i="14"/>
  <c r="W75" i="14" s="1"/>
  <c r="V76" i="14"/>
  <c r="W76" i="14" s="1"/>
  <c r="H56" i="14" l="1"/>
  <c r="X21" i="18"/>
  <c r="AA21" i="18" s="1"/>
  <c r="W21" i="18"/>
  <c r="Z21" i="18" s="1"/>
  <c r="V21" i="18"/>
  <c r="S21" i="18"/>
  <c r="P21" i="18"/>
  <c r="M21" i="18"/>
  <c r="J21" i="18"/>
  <c r="G21" i="18"/>
  <c r="X20" i="18"/>
  <c r="AA20" i="18" s="1"/>
  <c r="W20" i="18"/>
  <c r="Z20" i="18" s="1"/>
  <c r="V20" i="18"/>
  <c r="S20" i="18"/>
  <c r="P20" i="18"/>
  <c r="M20" i="18"/>
  <c r="J20" i="18"/>
  <c r="G20" i="18"/>
  <c r="X19" i="18"/>
  <c r="AA19" i="18" s="1"/>
  <c r="W19" i="18"/>
  <c r="Z19" i="18" s="1"/>
  <c r="V19" i="18"/>
  <c r="S19" i="18"/>
  <c r="P19" i="18"/>
  <c r="M19" i="18"/>
  <c r="J19" i="18"/>
  <c r="G19" i="18"/>
  <c r="X18" i="18"/>
  <c r="AA18" i="18" s="1"/>
  <c r="W18" i="18"/>
  <c r="Z18" i="18" s="1"/>
  <c r="V18" i="18"/>
  <c r="S18" i="18"/>
  <c r="P18" i="18"/>
  <c r="M18" i="18"/>
  <c r="J18" i="18"/>
  <c r="G18" i="18"/>
  <c r="X17" i="18"/>
  <c r="AA17" i="18" s="1"/>
  <c r="W17" i="18"/>
  <c r="Z17" i="18" s="1"/>
  <c r="V17" i="18"/>
  <c r="S17" i="18"/>
  <c r="P17" i="18"/>
  <c r="M17" i="18"/>
  <c r="J17" i="18"/>
  <c r="G17" i="18"/>
  <c r="X16" i="18"/>
  <c r="AA16" i="18" s="1"/>
  <c r="Z16" i="18"/>
  <c r="V16" i="18"/>
  <c r="S16" i="18"/>
  <c r="P16" i="18"/>
  <c r="M16" i="18"/>
  <c r="J16" i="18"/>
  <c r="G16" i="18"/>
  <c r="K12" i="18"/>
  <c r="I12" i="18"/>
  <c r="M5" i="18"/>
  <c r="M12" i="18" s="1"/>
  <c r="AF42" i="17"/>
  <c r="AG42" i="17" s="1"/>
  <c r="AH42" i="17" s="1"/>
  <c r="AA42" i="17"/>
  <c r="AB42" i="17" s="1"/>
  <c r="AC42" i="17" s="1"/>
  <c r="V42" i="17"/>
  <c r="W42" i="17" s="1"/>
  <c r="X42" i="17" s="1"/>
  <c r="Q42" i="17"/>
  <c r="R42" i="17" s="1"/>
  <c r="S42" i="17" s="1"/>
  <c r="L42" i="17"/>
  <c r="M42" i="17" s="1"/>
  <c r="N42" i="17" s="1"/>
  <c r="G42" i="17"/>
  <c r="AF41" i="17"/>
  <c r="AG41" i="17" s="1"/>
  <c r="AH41" i="17" s="1"/>
  <c r="AA41" i="17"/>
  <c r="AB41" i="17" s="1"/>
  <c r="AC41" i="17" s="1"/>
  <c r="V41" i="17"/>
  <c r="W41" i="17" s="1"/>
  <c r="X41" i="17" s="1"/>
  <c r="Q41" i="17"/>
  <c r="R41" i="17" s="1"/>
  <c r="S41" i="17" s="1"/>
  <c r="L41" i="17"/>
  <c r="M41" i="17" s="1"/>
  <c r="N41" i="17" s="1"/>
  <c r="G41" i="17"/>
  <c r="AF40" i="17"/>
  <c r="AG40" i="17" s="1"/>
  <c r="AH40" i="17" s="1"/>
  <c r="AA40" i="17"/>
  <c r="AB40" i="17" s="1"/>
  <c r="AC40" i="17" s="1"/>
  <c r="V40" i="17"/>
  <c r="W40" i="17" s="1"/>
  <c r="X40" i="17" s="1"/>
  <c r="Q40" i="17"/>
  <c r="R40" i="17" s="1"/>
  <c r="S40" i="17" s="1"/>
  <c r="L40" i="17"/>
  <c r="M40" i="17" s="1"/>
  <c r="N40" i="17" s="1"/>
  <c r="G40" i="17"/>
  <c r="AF39" i="17"/>
  <c r="AG39" i="17" s="1"/>
  <c r="AH39" i="17" s="1"/>
  <c r="AA39" i="17"/>
  <c r="AB39" i="17" s="1"/>
  <c r="AC39" i="17" s="1"/>
  <c r="V39" i="17"/>
  <c r="W39" i="17" s="1"/>
  <c r="X39" i="17" s="1"/>
  <c r="Q39" i="17"/>
  <c r="R39" i="17" s="1"/>
  <c r="S39" i="17" s="1"/>
  <c r="L39" i="17"/>
  <c r="M39" i="17" s="1"/>
  <c r="N39" i="17" s="1"/>
  <c r="G39" i="17"/>
  <c r="AF38" i="17"/>
  <c r="AG38" i="17" s="1"/>
  <c r="AH38" i="17" s="1"/>
  <c r="AA38" i="17"/>
  <c r="AB38" i="17" s="1"/>
  <c r="AC38" i="17" s="1"/>
  <c r="V38" i="17"/>
  <c r="W38" i="17" s="1"/>
  <c r="X38" i="17" s="1"/>
  <c r="Q38" i="17"/>
  <c r="R38" i="17" s="1"/>
  <c r="S38" i="17" s="1"/>
  <c r="L38" i="17"/>
  <c r="M38" i="17" s="1"/>
  <c r="N38" i="17" s="1"/>
  <c r="G38" i="17"/>
  <c r="AF37" i="17"/>
  <c r="AG37" i="17" s="1"/>
  <c r="AH37" i="17" s="1"/>
  <c r="AA37" i="17"/>
  <c r="AB37" i="17" s="1"/>
  <c r="AC37" i="17" s="1"/>
  <c r="V37" i="17"/>
  <c r="W37" i="17" s="1"/>
  <c r="X37" i="17" s="1"/>
  <c r="Q37" i="17"/>
  <c r="R37" i="17" s="1"/>
  <c r="S37" i="17" s="1"/>
  <c r="L37" i="17"/>
  <c r="M37" i="17" s="1"/>
  <c r="N37" i="17" s="1"/>
  <c r="G37" i="17"/>
  <c r="AF36" i="17"/>
  <c r="AG36" i="17" s="1"/>
  <c r="AH36" i="17" s="1"/>
  <c r="AA36" i="17"/>
  <c r="AB36" i="17" s="1"/>
  <c r="AC36" i="17" s="1"/>
  <c r="V36" i="17"/>
  <c r="W36" i="17" s="1"/>
  <c r="X36" i="17" s="1"/>
  <c r="Q36" i="17"/>
  <c r="R36" i="17" s="1"/>
  <c r="S36" i="17" s="1"/>
  <c r="L36" i="17"/>
  <c r="I36" i="17"/>
  <c r="AF35" i="17"/>
  <c r="AG35" i="17" s="1"/>
  <c r="AH35" i="17" s="1"/>
  <c r="AA35" i="17"/>
  <c r="AB35" i="17" s="1"/>
  <c r="AC35" i="17" s="1"/>
  <c r="V35" i="17"/>
  <c r="W35" i="17" s="1"/>
  <c r="X35" i="17" s="1"/>
  <c r="Q35" i="17"/>
  <c r="R35" i="17" s="1"/>
  <c r="S35" i="17" s="1"/>
  <c r="L35" i="17"/>
  <c r="M35" i="17" s="1"/>
  <c r="N35" i="17" s="1"/>
  <c r="I35" i="17"/>
  <c r="G35" i="17"/>
  <c r="AF34" i="17"/>
  <c r="AG34" i="17" s="1"/>
  <c r="AH34" i="17" s="1"/>
  <c r="AA34" i="17"/>
  <c r="AB34" i="17" s="1"/>
  <c r="AC34" i="17" s="1"/>
  <c r="V34" i="17"/>
  <c r="W34" i="17" s="1"/>
  <c r="X34" i="17" s="1"/>
  <c r="Q34" i="17"/>
  <c r="R34" i="17" s="1"/>
  <c r="S34" i="17" s="1"/>
  <c r="L34" i="17"/>
  <c r="M34" i="17" s="1"/>
  <c r="N34" i="17" s="1"/>
  <c r="G34" i="17"/>
  <c r="AF33" i="17"/>
  <c r="AG33" i="17" s="1"/>
  <c r="AH33" i="17" s="1"/>
  <c r="AA33" i="17"/>
  <c r="AB33" i="17" s="1"/>
  <c r="AC33" i="17" s="1"/>
  <c r="V33" i="17"/>
  <c r="W33" i="17" s="1"/>
  <c r="X33" i="17" s="1"/>
  <c r="Q33" i="17"/>
  <c r="R33" i="17" s="1"/>
  <c r="S33" i="17" s="1"/>
  <c r="L33" i="17"/>
  <c r="M33" i="17" s="1"/>
  <c r="N33" i="17" s="1"/>
  <c r="G33" i="17"/>
  <c r="AF32" i="17"/>
  <c r="AG32" i="17" s="1"/>
  <c r="AH32" i="17" s="1"/>
  <c r="AA32" i="17"/>
  <c r="AB32" i="17" s="1"/>
  <c r="AC32" i="17" s="1"/>
  <c r="V32" i="17"/>
  <c r="W32" i="17" s="1"/>
  <c r="X32" i="17" s="1"/>
  <c r="Q32" i="17"/>
  <c r="R32" i="17" s="1"/>
  <c r="S32" i="17" s="1"/>
  <c r="L32" i="17"/>
  <c r="M32" i="17" s="1"/>
  <c r="N32" i="17" s="1"/>
  <c r="G32" i="17"/>
  <c r="AF31" i="17"/>
  <c r="AG31" i="17" s="1"/>
  <c r="AH31" i="17" s="1"/>
  <c r="AA31" i="17"/>
  <c r="AB31" i="17" s="1"/>
  <c r="AC31" i="17" s="1"/>
  <c r="V31" i="17"/>
  <c r="W31" i="17" s="1"/>
  <c r="X31" i="17" s="1"/>
  <c r="Q31" i="17"/>
  <c r="R31" i="17" s="1"/>
  <c r="S31" i="17" s="1"/>
  <c r="L31" i="17"/>
  <c r="M31" i="17" s="1"/>
  <c r="N31" i="17" s="1"/>
  <c r="G31" i="17"/>
  <c r="AF30" i="17"/>
  <c r="AG30" i="17" s="1"/>
  <c r="AH30" i="17" s="1"/>
  <c r="AA30" i="17"/>
  <c r="AB30" i="17" s="1"/>
  <c r="AC30" i="17" s="1"/>
  <c r="V30" i="17"/>
  <c r="W30" i="17" s="1"/>
  <c r="X30" i="17" s="1"/>
  <c r="Q30" i="17"/>
  <c r="R30" i="17" s="1"/>
  <c r="S30" i="17" s="1"/>
  <c r="L30" i="17"/>
  <c r="M30" i="17" s="1"/>
  <c r="N30" i="17" s="1"/>
  <c r="G30" i="17"/>
  <c r="AF29" i="17"/>
  <c r="AG29" i="17" s="1"/>
  <c r="AH29" i="17" s="1"/>
  <c r="AA29" i="17"/>
  <c r="AB29" i="17" s="1"/>
  <c r="AC29" i="17" s="1"/>
  <c r="V29" i="17"/>
  <c r="W29" i="17" s="1"/>
  <c r="X29" i="17" s="1"/>
  <c r="Q29" i="17"/>
  <c r="R29" i="17" s="1"/>
  <c r="S29" i="17" s="1"/>
  <c r="L29" i="17"/>
  <c r="M29" i="17" s="1"/>
  <c r="N29" i="17" s="1"/>
  <c r="G29" i="17"/>
  <c r="AF28" i="17"/>
  <c r="AG28" i="17" s="1"/>
  <c r="AH28" i="17" s="1"/>
  <c r="AA28" i="17"/>
  <c r="AB28" i="17" s="1"/>
  <c r="AC28" i="17" s="1"/>
  <c r="V28" i="17"/>
  <c r="W28" i="17" s="1"/>
  <c r="X28" i="17" s="1"/>
  <c r="Q28" i="17"/>
  <c r="R28" i="17" s="1"/>
  <c r="S28" i="17" s="1"/>
  <c r="L28" i="17"/>
  <c r="M28" i="17" s="1"/>
  <c r="N28" i="17" s="1"/>
  <c r="G28" i="17"/>
  <c r="AF27" i="17"/>
  <c r="AG27" i="17" s="1"/>
  <c r="AH27" i="17" s="1"/>
  <c r="AA27" i="17"/>
  <c r="AB27" i="17" s="1"/>
  <c r="AC27" i="17" s="1"/>
  <c r="V27" i="17"/>
  <c r="W27" i="17" s="1"/>
  <c r="X27" i="17" s="1"/>
  <c r="Q27" i="17"/>
  <c r="R27" i="17" s="1"/>
  <c r="S27" i="17" s="1"/>
  <c r="L27" i="17"/>
  <c r="M27" i="17" s="1"/>
  <c r="N27" i="17" s="1"/>
  <c r="G27" i="17"/>
  <c r="AF26" i="17"/>
  <c r="AG26" i="17" s="1"/>
  <c r="AH26" i="17" s="1"/>
  <c r="AA26" i="17"/>
  <c r="AB26" i="17" s="1"/>
  <c r="AC26" i="17" s="1"/>
  <c r="V26" i="17"/>
  <c r="W26" i="17" s="1"/>
  <c r="X26" i="17" s="1"/>
  <c r="Q26" i="17"/>
  <c r="R26" i="17" s="1"/>
  <c r="S26" i="17" s="1"/>
  <c r="L26" i="17"/>
  <c r="M26" i="17" s="1"/>
  <c r="N26" i="17" s="1"/>
  <c r="G26" i="17"/>
  <c r="AF25" i="17"/>
  <c r="AG25" i="17" s="1"/>
  <c r="AH25" i="17" s="1"/>
  <c r="AA25" i="17"/>
  <c r="AB25" i="17" s="1"/>
  <c r="AC25" i="17" s="1"/>
  <c r="V25" i="17"/>
  <c r="W25" i="17" s="1"/>
  <c r="X25" i="17" s="1"/>
  <c r="Q25" i="17"/>
  <c r="R25" i="17" s="1"/>
  <c r="S25" i="17" s="1"/>
  <c r="L25" i="17"/>
  <c r="M25" i="17" s="1"/>
  <c r="N25" i="17" s="1"/>
  <c r="G25" i="17"/>
  <c r="AF24" i="17"/>
  <c r="AG24" i="17" s="1"/>
  <c r="AH24" i="17" s="1"/>
  <c r="AA24" i="17"/>
  <c r="AB24" i="17" s="1"/>
  <c r="AC24" i="17" s="1"/>
  <c r="V24" i="17"/>
  <c r="W24" i="17" s="1"/>
  <c r="X24" i="17" s="1"/>
  <c r="Q24" i="17"/>
  <c r="R24" i="17" s="1"/>
  <c r="S24" i="17" s="1"/>
  <c r="L24" i="17"/>
  <c r="M24" i="17" s="1"/>
  <c r="N24" i="17" s="1"/>
  <c r="G24" i="17"/>
  <c r="AF23" i="17"/>
  <c r="AG23" i="17" s="1"/>
  <c r="AH23" i="17" s="1"/>
  <c r="AA23" i="17"/>
  <c r="AB23" i="17" s="1"/>
  <c r="AC23" i="17" s="1"/>
  <c r="V23" i="17"/>
  <c r="W23" i="17" s="1"/>
  <c r="X23" i="17" s="1"/>
  <c r="Q23" i="17"/>
  <c r="R23" i="17" s="1"/>
  <c r="S23" i="17" s="1"/>
  <c r="L23" i="17"/>
  <c r="M23" i="17" s="1"/>
  <c r="N23" i="17" s="1"/>
  <c r="G23" i="17"/>
  <c r="AF22" i="17"/>
  <c r="AG22" i="17" s="1"/>
  <c r="AH22" i="17" s="1"/>
  <c r="AA22" i="17"/>
  <c r="AB22" i="17" s="1"/>
  <c r="AC22" i="17" s="1"/>
  <c r="V22" i="17"/>
  <c r="W22" i="17" s="1"/>
  <c r="X22" i="17" s="1"/>
  <c r="Q22" i="17"/>
  <c r="R22" i="17" s="1"/>
  <c r="S22" i="17" s="1"/>
  <c r="L22" i="17"/>
  <c r="M22" i="17" s="1"/>
  <c r="N22" i="17" s="1"/>
  <c r="G22" i="17"/>
  <c r="AF21" i="17"/>
  <c r="AG21" i="17" s="1"/>
  <c r="AH21" i="17" s="1"/>
  <c r="AA21" i="17"/>
  <c r="AB21" i="17" s="1"/>
  <c r="AC21" i="17" s="1"/>
  <c r="V21" i="17"/>
  <c r="W21" i="17" s="1"/>
  <c r="X21" i="17" s="1"/>
  <c r="Q21" i="17"/>
  <c r="R21" i="17" s="1"/>
  <c r="S21" i="17" s="1"/>
  <c r="L21" i="17"/>
  <c r="G21" i="17"/>
  <c r="AF20" i="17"/>
  <c r="AG20" i="17" s="1"/>
  <c r="AH20" i="17" s="1"/>
  <c r="AA20" i="17"/>
  <c r="AB20" i="17" s="1"/>
  <c r="AC20" i="17" s="1"/>
  <c r="V20" i="17"/>
  <c r="W20" i="17" s="1"/>
  <c r="X20" i="17" s="1"/>
  <c r="Q20" i="17"/>
  <c r="R20" i="17" s="1"/>
  <c r="S20" i="17" s="1"/>
  <c r="L20" i="17"/>
  <c r="M20" i="17" s="1"/>
  <c r="N20" i="17" s="1"/>
  <c r="G20" i="17"/>
  <c r="AF19" i="17"/>
  <c r="AG19" i="17" s="1"/>
  <c r="AH19" i="17" s="1"/>
  <c r="AA19" i="17"/>
  <c r="AB19" i="17" s="1"/>
  <c r="AC19" i="17" s="1"/>
  <c r="V19" i="17"/>
  <c r="W19" i="17" s="1"/>
  <c r="X19" i="17" s="1"/>
  <c r="Q19" i="17"/>
  <c r="R19" i="17" s="1"/>
  <c r="S19" i="17" s="1"/>
  <c r="L19" i="17"/>
  <c r="M19" i="17" s="1"/>
  <c r="N19" i="17" s="1"/>
  <c r="G19" i="17"/>
  <c r="AF18" i="17"/>
  <c r="AG18" i="17" s="1"/>
  <c r="AH18" i="17" s="1"/>
  <c r="AB18" i="17"/>
  <c r="AC18" i="17" s="1"/>
  <c r="V18" i="17"/>
  <c r="W18" i="17" s="1"/>
  <c r="X18" i="17" s="1"/>
  <c r="Q18" i="17"/>
  <c r="R18" i="17" s="1"/>
  <c r="S18" i="17" s="1"/>
  <c r="L18" i="17"/>
  <c r="M18" i="17" s="1"/>
  <c r="N18" i="17" s="1"/>
  <c r="G18" i="17"/>
  <c r="AF17" i="17"/>
  <c r="AG17" i="17" s="1"/>
  <c r="AH17" i="17" s="1"/>
  <c r="AA17" i="17"/>
  <c r="AB17" i="17" s="1"/>
  <c r="AC17" i="17" s="1"/>
  <c r="V17" i="17"/>
  <c r="W17" i="17" s="1"/>
  <c r="X17" i="17" s="1"/>
  <c r="Q17" i="17"/>
  <c r="R17" i="17" s="1"/>
  <c r="S17" i="17" s="1"/>
  <c r="L17" i="17"/>
  <c r="M17" i="17" s="1"/>
  <c r="N17" i="17" s="1"/>
  <c r="G17" i="17"/>
  <c r="AF16" i="17"/>
  <c r="AG16" i="17" s="1"/>
  <c r="AH16" i="17" s="1"/>
  <c r="AA16" i="17"/>
  <c r="AB16" i="17" s="1"/>
  <c r="AC16" i="17" s="1"/>
  <c r="V16" i="17"/>
  <c r="W16" i="17" s="1"/>
  <c r="X16" i="17" s="1"/>
  <c r="Q16" i="17"/>
  <c r="R16" i="17" s="1"/>
  <c r="S16" i="17" s="1"/>
  <c r="L16" i="17"/>
  <c r="M16" i="17" s="1"/>
  <c r="N16" i="17" s="1"/>
  <c r="G16" i="17"/>
  <c r="AF15" i="17"/>
  <c r="AG15" i="17" s="1"/>
  <c r="AH15" i="17" s="1"/>
  <c r="AA15" i="17"/>
  <c r="AB15" i="17" s="1"/>
  <c r="AC15" i="17" s="1"/>
  <c r="V15" i="17"/>
  <c r="W15" i="17" s="1"/>
  <c r="X15" i="17" s="1"/>
  <c r="Q15" i="17"/>
  <c r="R15" i="17" s="1"/>
  <c r="S15" i="17" s="1"/>
  <c r="N15" i="17"/>
  <c r="L15" i="17"/>
  <c r="M15" i="17" s="1"/>
  <c r="G15" i="17"/>
  <c r="AF14" i="17"/>
  <c r="AA14" i="17"/>
  <c r="AB14" i="17" s="1"/>
  <c r="AC14" i="17" s="1"/>
  <c r="V14" i="17"/>
  <c r="W14" i="17" s="1"/>
  <c r="X14" i="17" s="1"/>
  <c r="Q14" i="17"/>
  <c r="R14" i="17" s="1"/>
  <c r="S14" i="17" s="1"/>
  <c r="L14" i="17"/>
  <c r="G14" i="17"/>
  <c r="AF13" i="17"/>
  <c r="AG13" i="17" s="1"/>
  <c r="AH13" i="17" s="1"/>
  <c r="AA13" i="17"/>
  <c r="AB13" i="17" s="1"/>
  <c r="AC13" i="17" s="1"/>
  <c r="V13" i="17"/>
  <c r="W13" i="17" s="1"/>
  <c r="X13" i="17" s="1"/>
  <c r="Q13" i="17"/>
  <c r="R13" i="17" s="1"/>
  <c r="S13" i="17" s="1"/>
  <c r="L13" i="17"/>
  <c r="M13" i="17" s="1"/>
  <c r="N13" i="17" s="1"/>
  <c r="G13" i="17"/>
  <c r="AF12" i="17"/>
  <c r="AG12" i="17" s="1"/>
  <c r="AH12" i="17" s="1"/>
  <c r="AA12" i="17"/>
  <c r="AB12" i="17" s="1"/>
  <c r="AC12" i="17" s="1"/>
  <c r="V12" i="17"/>
  <c r="W12" i="17" s="1"/>
  <c r="X12" i="17" s="1"/>
  <c r="Q12" i="17"/>
  <c r="R12" i="17" s="1"/>
  <c r="S12" i="17" s="1"/>
  <c r="L12" i="17"/>
  <c r="M12" i="17" s="1"/>
  <c r="N12" i="17" s="1"/>
  <c r="G12" i="17"/>
  <c r="AF11" i="17"/>
  <c r="AG11" i="17" s="1"/>
  <c r="AH11" i="17" s="1"/>
  <c r="AA11" i="17"/>
  <c r="AB11" i="17" s="1"/>
  <c r="AC11" i="17" s="1"/>
  <c r="V11" i="17"/>
  <c r="Q11" i="17"/>
  <c r="R11" i="17" s="1"/>
  <c r="S11" i="17" s="1"/>
  <c r="L11" i="17"/>
  <c r="G11" i="17"/>
  <c r="AI16" i="17" l="1"/>
  <c r="AI24" i="17"/>
  <c r="AI26" i="17"/>
  <c r="AI28" i="17"/>
  <c r="AI34" i="17"/>
  <c r="AI20" i="17"/>
  <c r="AI22" i="17"/>
  <c r="AI30" i="17"/>
  <c r="AI32" i="17"/>
  <c r="AI36" i="17"/>
  <c r="H18" i="17"/>
  <c r="I18" i="17" s="1"/>
  <c r="AI18" i="17"/>
  <c r="AI11" i="17"/>
  <c r="AI13" i="17"/>
  <c r="AI15" i="17"/>
  <c r="AI38" i="17"/>
  <c r="AI40" i="17"/>
  <c r="AI42" i="17"/>
  <c r="AI17" i="17"/>
  <c r="AI19" i="17"/>
  <c r="H21" i="17"/>
  <c r="I21" i="17" s="1"/>
  <c r="AI21" i="17"/>
  <c r="AI23" i="17"/>
  <c r="AI25" i="17"/>
  <c r="AI27" i="17"/>
  <c r="AI29" i="17"/>
  <c r="AI31" i="17"/>
  <c r="AI33" i="17"/>
  <c r="AI35" i="17"/>
  <c r="AI12" i="17"/>
  <c r="AI37" i="17"/>
  <c r="AI39" i="17"/>
  <c r="AI41" i="17"/>
  <c r="AG14" i="17"/>
  <c r="AH14" i="17" s="1"/>
  <c r="AI14" i="17"/>
  <c r="Y19" i="18"/>
  <c r="AB19" i="18" s="1"/>
  <c r="Y17" i="18"/>
  <c r="AB17" i="18" s="1"/>
  <c r="Y20" i="18"/>
  <c r="AB20" i="18" s="1"/>
  <c r="Y16" i="18"/>
  <c r="AB16" i="18" s="1"/>
  <c r="Y18" i="18"/>
  <c r="AB18" i="18" s="1"/>
  <c r="Y21" i="18"/>
  <c r="AB21" i="18" s="1"/>
  <c r="W11" i="17"/>
  <c r="X11" i="17" s="1"/>
  <c r="AJ42" i="17"/>
  <c r="AK42" i="17" s="1"/>
  <c r="H42" i="17"/>
  <c r="I42" i="17" s="1"/>
  <c r="AJ41" i="17"/>
  <c r="AK41" i="17" s="1"/>
  <c r="AJ40" i="17"/>
  <c r="AK40" i="17" s="1"/>
  <c r="AJ39" i="17"/>
  <c r="AK39" i="17" s="1"/>
  <c r="AJ38" i="17"/>
  <c r="AK38" i="17" s="1"/>
  <c r="H38" i="17"/>
  <c r="I38" i="17" s="1"/>
  <c r="AJ37" i="17"/>
  <c r="AK37" i="17" s="1"/>
  <c r="M36" i="17"/>
  <c r="N36" i="17" s="1"/>
  <c r="AJ36" i="17"/>
  <c r="AJ35" i="17"/>
  <c r="H34" i="17"/>
  <c r="I34" i="17" s="1"/>
  <c r="AJ34" i="17"/>
  <c r="AK34" i="17" s="1"/>
  <c r="AJ33" i="17"/>
  <c r="AK33" i="17" s="1"/>
  <c r="H32" i="17"/>
  <c r="I32" i="17" s="1"/>
  <c r="AJ32" i="17"/>
  <c r="AK32" i="17" s="1"/>
  <c r="AJ31" i="17"/>
  <c r="AK31" i="17" s="1"/>
  <c r="AJ30" i="17"/>
  <c r="AK30" i="17" s="1"/>
  <c r="H29" i="17"/>
  <c r="I29" i="17" s="1"/>
  <c r="AJ29" i="17"/>
  <c r="AK29" i="17" s="1"/>
  <c r="AJ28" i="17"/>
  <c r="AK28" i="17" s="1"/>
  <c r="H27" i="17"/>
  <c r="I27" i="17" s="1"/>
  <c r="AJ27" i="17"/>
  <c r="AK27" i="17" s="1"/>
  <c r="AJ26" i="17"/>
  <c r="AK26" i="17" s="1"/>
  <c r="AJ25" i="17"/>
  <c r="AK25" i="17" s="1"/>
  <c r="AJ24" i="17"/>
  <c r="AK24" i="17" s="1"/>
  <c r="H23" i="17"/>
  <c r="I23" i="17" s="1"/>
  <c r="AJ23" i="17"/>
  <c r="AK23" i="17" s="1"/>
  <c r="AJ22" i="17"/>
  <c r="AK22" i="17" s="1"/>
  <c r="AJ21" i="17"/>
  <c r="AK21" i="17" s="1"/>
  <c r="AJ20" i="17"/>
  <c r="AK20" i="17" s="1"/>
  <c r="AJ19" i="17"/>
  <c r="AK19" i="17" s="1"/>
  <c r="H19" i="17"/>
  <c r="I19" i="17" s="1"/>
  <c r="AJ18" i="17"/>
  <c r="AK18" i="17" s="1"/>
  <c r="AJ17" i="17"/>
  <c r="AK17" i="17" s="1"/>
  <c r="H16" i="17"/>
  <c r="I16" i="17" s="1"/>
  <c r="AJ16" i="17"/>
  <c r="AK16" i="17" s="1"/>
  <c r="AJ15" i="17"/>
  <c r="H14" i="17"/>
  <c r="I14" i="17" s="1"/>
  <c r="AJ14" i="17"/>
  <c r="AK14" i="17" s="1"/>
  <c r="H13" i="17"/>
  <c r="I13" i="17" s="1"/>
  <c r="AJ13" i="17"/>
  <c r="AK13" i="17" s="1"/>
  <c r="H12" i="17"/>
  <c r="I12" i="17" s="1"/>
  <c r="AJ12" i="17"/>
  <c r="AK12" i="17" s="1"/>
  <c r="M11" i="17"/>
  <c r="N11" i="17" s="1"/>
  <c r="AJ11" i="17"/>
  <c r="AK11" i="17" s="1"/>
  <c r="H25" i="17"/>
  <c r="I25" i="17" s="1"/>
  <c r="H30" i="17"/>
  <c r="I30" i="17" s="1"/>
  <c r="H40" i="17"/>
  <c r="I40" i="17" s="1"/>
  <c r="H15" i="17"/>
  <c r="I15" i="17" s="1"/>
  <c r="M21" i="17"/>
  <c r="N21" i="17" s="1"/>
  <c r="H37" i="17"/>
  <c r="I37" i="17" s="1"/>
  <c r="H11" i="17"/>
  <c r="I11" i="17" s="1"/>
  <c r="M14" i="17"/>
  <c r="N14" i="17" s="1"/>
  <c r="H22" i="17"/>
  <c r="I22" i="17" s="1"/>
  <c r="H26" i="17"/>
  <c r="I26" i="17" s="1"/>
  <c r="H33" i="17"/>
  <c r="I33" i="17" s="1"/>
  <c r="H41" i="17"/>
  <c r="I41" i="17" s="1"/>
  <c r="H36" i="17"/>
  <c r="H17" i="17"/>
  <c r="I17" i="17" s="1"/>
  <c r="H20" i="17"/>
  <c r="I20" i="17" s="1"/>
  <c r="H24" i="17"/>
  <c r="I24" i="17" s="1"/>
  <c r="H28" i="17"/>
  <c r="I28" i="17" s="1"/>
  <c r="H31" i="17"/>
  <c r="I31" i="17" s="1"/>
  <c r="H35" i="17"/>
  <c r="H39" i="17"/>
  <c r="I39" i="17" s="1"/>
  <c r="AG74" i="13"/>
  <c r="AF12" i="13"/>
  <c r="AG12" i="13" s="1"/>
  <c r="AH12" i="13" s="1"/>
  <c r="AF13" i="13"/>
  <c r="AG13" i="13" s="1"/>
  <c r="AH13" i="13" s="1"/>
  <c r="AF14" i="13"/>
  <c r="AG14" i="13" s="1"/>
  <c r="AH14" i="13" s="1"/>
  <c r="AF15" i="13"/>
  <c r="AG15" i="13" s="1"/>
  <c r="AH15" i="13" s="1"/>
  <c r="AF16" i="13"/>
  <c r="AG16" i="13" s="1"/>
  <c r="AH16" i="13" s="1"/>
  <c r="AF17" i="13"/>
  <c r="AG17" i="13" s="1"/>
  <c r="AH17" i="13" s="1"/>
  <c r="AF18" i="13"/>
  <c r="AG18" i="13" s="1"/>
  <c r="AH18" i="13" s="1"/>
  <c r="AF19" i="13"/>
  <c r="AG19" i="13" s="1"/>
  <c r="AH19" i="13" s="1"/>
  <c r="AF20" i="13"/>
  <c r="AG20" i="13" s="1"/>
  <c r="AH20" i="13" s="1"/>
  <c r="AF21" i="13"/>
  <c r="AG21" i="13" s="1"/>
  <c r="AH21" i="13" s="1"/>
  <c r="AF22" i="13"/>
  <c r="AG22" i="13" s="1"/>
  <c r="AH22" i="13" s="1"/>
  <c r="AF23" i="13"/>
  <c r="AG23" i="13" s="1"/>
  <c r="AH23" i="13" s="1"/>
  <c r="AF24" i="13"/>
  <c r="AG24" i="13" s="1"/>
  <c r="AH24" i="13" s="1"/>
  <c r="AF25" i="13"/>
  <c r="AG25" i="13" s="1"/>
  <c r="AH25" i="13" s="1"/>
  <c r="AF26" i="13"/>
  <c r="AG26" i="13" s="1"/>
  <c r="AH26" i="13" s="1"/>
  <c r="AF27" i="13"/>
  <c r="AG27" i="13" s="1"/>
  <c r="AH27" i="13" s="1"/>
  <c r="AF28" i="13"/>
  <c r="AG28" i="13" s="1"/>
  <c r="AH28" i="13" s="1"/>
  <c r="AF29" i="13"/>
  <c r="AG29" i="13" s="1"/>
  <c r="AH29" i="13" s="1"/>
  <c r="AF30" i="13"/>
  <c r="AG30" i="13" s="1"/>
  <c r="AH30" i="13" s="1"/>
  <c r="AF31" i="13"/>
  <c r="AG31" i="13" s="1"/>
  <c r="AH31" i="13" s="1"/>
  <c r="AF32" i="13"/>
  <c r="AG32" i="13" s="1"/>
  <c r="AH32" i="13" s="1"/>
  <c r="AF33" i="13"/>
  <c r="AG33" i="13" s="1"/>
  <c r="AH33" i="13" s="1"/>
  <c r="AF34" i="13"/>
  <c r="AG34" i="13" s="1"/>
  <c r="AH34" i="13" s="1"/>
  <c r="AF35" i="13"/>
  <c r="AG35" i="13" s="1"/>
  <c r="AH35" i="13" s="1"/>
  <c r="AF36" i="13"/>
  <c r="AG36" i="13" s="1"/>
  <c r="AH36" i="13" s="1"/>
  <c r="AF37" i="13"/>
  <c r="AG37" i="13" s="1"/>
  <c r="AH37" i="13" s="1"/>
  <c r="AF38" i="13"/>
  <c r="AG38" i="13" s="1"/>
  <c r="AH38" i="13" s="1"/>
  <c r="AF39" i="13"/>
  <c r="AG39" i="13" s="1"/>
  <c r="AH39" i="13" s="1"/>
  <c r="AF40" i="13"/>
  <c r="AG40" i="13" s="1"/>
  <c r="AF41" i="13"/>
  <c r="AG41" i="13" s="1"/>
  <c r="AH41" i="13" s="1"/>
  <c r="AF42" i="13"/>
  <c r="AG42" i="13" s="1"/>
  <c r="AH42" i="13" s="1"/>
  <c r="AF43" i="13"/>
  <c r="AG43" i="13" s="1"/>
  <c r="AH43" i="13" s="1"/>
  <c r="AF11" i="13"/>
  <c r="AG11" i="13" s="1"/>
  <c r="AH11" i="13" s="1"/>
  <c r="AA12" i="13"/>
  <c r="AB12" i="13" s="1"/>
  <c r="AC12" i="13" s="1"/>
  <c r="AA13" i="13"/>
  <c r="AB13" i="13" s="1"/>
  <c r="AC13" i="13" s="1"/>
  <c r="AA14" i="13"/>
  <c r="AB14" i="13" s="1"/>
  <c r="AC14" i="13" s="1"/>
  <c r="AA15" i="13"/>
  <c r="AB15" i="13" s="1"/>
  <c r="AC15" i="13" s="1"/>
  <c r="AA16" i="13"/>
  <c r="AB16" i="13" s="1"/>
  <c r="AC16" i="13" s="1"/>
  <c r="AA17" i="13"/>
  <c r="AB17" i="13" s="1"/>
  <c r="AC17" i="13" s="1"/>
  <c r="AA18" i="13"/>
  <c r="AB18" i="13" s="1"/>
  <c r="AC18" i="13" s="1"/>
  <c r="AA19" i="13"/>
  <c r="AB19" i="13" s="1"/>
  <c r="AC19" i="13" s="1"/>
  <c r="AA20" i="13"/>
  <c r="AB20" i="13" s="1"/>
  <c r="AC20" i="13" s="1"/>
  <c r="AA21" i="13"/>
  <c r="AB21" i="13" s="1"/>
  <c r="AC21" i="13" s="1"/>
  <c r="AA22" i="13"/>
  <c r="AB22" i="13" s="1"/>
  <c r="AC22" i="13" s="1"/>
  <c r="AA23" i="13"/>
  <c r="AB23" i="13" s="1"/>
  <c r="AC23" i="13" s="1"/>
  <c r="AA24" i="13"/>
  <c r="AB24" i="13" s="1"/>
  <c r="AC24" i="13" s="1"/>
  <c r="AA25" i="13"/>
  <c r="AB25" i="13" s="1"/>
  <c r="AC25" i="13" s="1"/>
  <c r="AA26" i="13"/>
  <c r="AB26" i="13" s="1"/>
  <c r="AC26" i="13" s="1"/>
  <c r="AA27" i="13"/>
  <c r="AB27" i="13" s="1"/>
  <c r="AC27" i="13" s="1"/>
  <c r="AA28" i="13"/>
  <c r="AB28" i="13" s="1"/>
  <c r="AC28" i="13" s="1"/>
  <c r="AA29" i="13"/>
  <c r="AB29" i="13" s="1"/>
  <c r="AC29" i="13" s="1"/>
  <c r="AA30" i="13"/>
  <c r="AB30" i="13" s="1"/>
  <c r="AC30" i="13" s="1"/>
  <c r="AA31" i="13"/>
  <c r="AB31" i="13" s="1"/>
  <c r="AC31" i="13" s="1"/>
  <c r="AA32" i="13"/>
  <c r="AB32" i="13" s="1"/>
  <c r="AC32" i="13" s="1"/>
  <c r="AA33" i="13"/>
  <c r="AB33" i="13" s="1"/>
  <c r="AC33" i="13" s="1"/>
  <c r="AA34" i="13"/>
  <c r="AB34" i="13" s="1"/>
  <c r="AC34" i="13" s="1"/>
  <c r="AA35" i="13"/>
  <c r="AB35" i="13" s="1"/>
  <c r="AC35" i="13" s="1"/>
  <c r="AA36" i="13"/>
  <c r="AB36" i="13" s="1"/>
  <c r="AC36" i="13" s="1"/>
  <c r="AA37" i="13"/>
  <c r="AB37" i="13" s="1"/>
  <c r="AC37" i="13" s="1"/>
  <c r="AA38" i="13"/>
  <c r="AB38" i="13" s="1"/>
  <c r="AC38" i="13" s="1"/>
  <c r="AA39" i="13"/>
  <c r="AB39" i="13" s="1"/>
  <c r="AC39" i="13" s="1"/>
  <c r="AA40" i="13"/>
  <c r="AB40" i="13" s="1"/>
  <c r="AC40" i="13" s="1"/>
  <c r="AA41" i="13"/>
  <c r="AB41" i="13" s="1"/>
  <c r="AC41" i="13" s="1"/>
  <c r="AA42" i="13"/>
  <c r="AB42" i="13" s="1"/>
  <c r="AC42" i="13" s="1"/>
  <c r="AA43" i="13"/>
  <c r="AB43" i="13" s="1"/>
  <c r="AC43" i="13" s="1"/>
  <c r="AA11" i="13"/>
  <c r="AB11" i="13" s="1"/>
  <c r="AC11" i="13" s="1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11" i="13"/>
  <c r="Q12" i="13"/>
  <c r="R12" i="13" s="1"/>
  <c r="S12" i="13" s="1"/>
  <c r="Q13" i="13"/>
  <c r="R13" i="13" s="1"/>
  <c r="S13" i="13" s="1"/>
  <c r="Q14" i="13"/>
  <c r="R14" i="13" s="1"/>
  <c r="S14" i="13" s="1"/>
  <c r="Q15" i="13"/>
  <c r="R15" i="13" s="1"/>
  <c r="S15" i="13" s="1"/>
  <c r="Q16" i="13"/>
  <c r="R16" i="13" s="1"/>
  <c r="S16" i="13" s="1"/>
  <c r="Q17" i="13"/>
  <c r="R17" i="13" s="1"/>
  <c r="S17" i="13" s="1"/>
  <c r="Q18" i="13"/>
  <c r="R18" i="13" s="1"/>
  <c r="S18" i="13" s="1"/>
  <c r="Q19" i="13"/>
  <c r="R19" i="13" s="1"/>
  <c r="S19" i="13" s="1"/>
  <c r="Q20" i="13"/>
  <c r="R20" i="13" s="1"/>
  <c r="S20" i="13" s="1"/>
  <c r="Q21" i="13"/>
  <c r="R21" i="13" s="1"/>
  <c r="S21" i="13" s="1"/>
  <c r="Q22" i="13"/>
  <c r="R22" i="13" s="1"/>
  <c r="S22" i="13" s="1"/>
  <c r="Q23" i="13"/>
  <c r="R23" i="13" s="1"/>
  <c r="S23" i="13" s="1"/>
  <c r="Q24" i="13"/>
  <c r="R24" i="13" s="1"/>
  <c r="S24" i="13" s="1"/>
  <c r="Q25" i="13"/>
  <c r="R25" i="13" s="1"/>
  <c r="S25" i="13" s="1"/>
  <c r="Q26" i="13"/>
  <c r="R26" i="13" s="1"/>
  <c r="Q27" i="13"/>
  <c r="R27" i="13" s="1"/>
  <c r="S27" i="13" s="1"/>
  <c r="Q28" i="13"/>
  <c r="R28" i="13" s="1"/>
  <c r="S28" i="13" s="1"/>
  <c r="Q29" i="13"/>
  <c r="R29" i="13" s="1"/>
  <c r="S29" i="13" s="1"/>
  <c r="Q30" i="13"/>
  <c r="R30" i="13" s="1"/>
  <c r="S30" i="13" s="1"/>
  <c r="Q31" i="13"/>
  <c r="R31" i="13" s="1"/>
  <c r="S31" i="13" s="1"/>
  <c r="Q32" i="13"/>
  <c r="R32" i="13" s="1"/>
  <c r="S32" i="13" s="1"/>
  <c r="Q33" i="13"/>
  <c r="R33" i="13" s="1"/>
  <c r="S33" i="13" s="1"/>
  <c r="Q34" i="13"/>
  <c r="R34" i="13" s="1"/>
  <c r="S34" i="13" s="1"/>
  <c r="Q35" i="13"/>
  <c r="R35" i="13" s="1"/>
  <c r="S35" i="13" s="1"/>
  <c r="Q36" i="13"/>
  <c r="R36" i="13" s="1"/>
  <c r="S36" i="13" s="1"/>
  <c r="Q37" i="13"/>
  <c r="R37" i="13" s="1"/>
  <c r="S37" i="13" s="1"/>
  <c r="Q38" i="13"/>
  <c r="R38" i="13" s="1"/>
  <c r="S38" i="13" s="1"/>
  <c r="Q39" i="13"/>
  <c r="R39" i="13" s="1"/>
  <c r="S39" i="13" s="1"/>
  <c r="Q40" i="13"/>
  <c r="R40" i="13" s="1"/>
  <c r="S40" i="13" s="1"/>
  <c r="Q41" i="13"/>
  <c r="R41" i="13" s="1"/>
  <c r="S41" i="13" s="1"/>
  <c r="Q42" i="13"/>
  <c r="R42" i="13" s="1"/>
  <c r="S42" i="13" s="1"/>
  <c r="Q43" i="13"/>
  <c r="R43" i="13" s="1"/>
  <c r="S43" i="13" s="1"/>
  <c r="Q11" i="13"/>
  <c r="R11" i="13" s="1"/>
  <c r="S11" i="13" s="1"/>
  <c r="L12" i="13"/>
  <c r="M12" i="13" s="1"/>
  <c r="N12" i="13" s="1"/>
  <c r="L13" i="13"/>
  <c r="M13" i="13" s="1"/>
  <c r="N13" i="13" s="1"/>
  <c r="L14" i="13"/>
  <c r="M14" i="13" s="1"/>
  <c r="N14" i="13" s="1"/>
  <c r="L15" i="13"/>
  <c r="M15" i="13" s="1"/>
  <c r="N15" i="13" s="1"/>
  <c r="L16" i="13"/>
  <c r="M16" i="13" s="1"/>
  <c r="N16" i="13" s="1"/>
  <c r="L17" i="13"/>
  <c r="M17" i="13" s="1"/>
  <c r="L18" i="13"/>
  <c r="M18" i="13" s="1"/>
  <c r="N18" i="13" s="1"/>
  <c r="L19" i="13"/>
  <c r="M19" i="13" s="1"/>
  <c r="N19" i="13" s="1"/>
  <c r="L20" i="13"/>
  <c r="M20" i="13" s="1"/>
  <c r="N20" i="13" s="1"/>
  <c r="L21" i="13"/>
  <c r="M21" i="13" s="1"/>
  <c r="N21" i="13" s="1"/>
  <c r="L22" i="13"/>
  <c r="M22" i="13" s="1"/>
  <c r="N22" i="13" s="1"/>
  <c r="L23" i="13"/>
  <c r="M23" i="13" s="1"/>
  <c r="N23" i="13" s="1"/>
  <c r="L24" i="13"/>
  <c r="M24" i="13" s="1"/>
  <c r="N24" i="13" s="1"/>
  <c r="L25" i="13"/>
  <c r="M25" i="13" s="1"/>
  <c r="N25" i="13" s="1"/>
  <c r="L26" i="13"/>
  <c r="M26" i="13" s="1"/>
  <c r="N26" i="13" s="1"/>
  <c r="L27" i="13"/>
  <c r="M27" i="13" s="1"/>
  <c r="N27" i="13" s="1"/>
  <c r="L28" i="13"/>
  <c r="M28" i="13" s="1"/>
  <c r="N28" i="13" s="1"/>
  <c r="L29" i="13"/>
  <c r="M29" i="13" s="1"/>
  <c r="N29" i="13" s="1"/>
  <c r="L30" i="13"/>
  <c r="M30" i="13" s="1"/>
  <c r="N30" i="13" s="1"/>
  <c r="L31" i="13"/>
  <c r="M31" i="13" s="1"/>
  <c r="N31" i="13" s="1"/>
  <c r="L32" i="13"/>
  <c r="M32" i="13" s="1"/>
  <c r="N32" i="13" s="1"/>
  <c r="L33" i="13"/>
  <c r="M33" i="13" s="1"/>
  <c r="N33" i="13" s="1"/>
  <c r="L34" i="13"/>
  <c r="M34" i="13" s="1"/>
  <c r="N34" i="13" s="1"/>
  <c r="L35" i="13"/>
  <c r="M35" i="13" s="1"/>
  <c r="N35" i="13" s="1"/>
  <c r="L36" i="13"/>
  <c r="M36" i="13" s="1"/>
  <c r="N36" i="13" s="1"/>
  <c r="L37" i="13"/>
  <c r="M37" i="13" s="1"/>
  <c r="N37" i="13" s="1"/>
  <c r="L38" i="13"/>
  <c r="M38" i="13" s="1"/>
  <c r="N38" i="13" s="1"/>
  <c r="L39" i="13"/>
  <c r="M39" i="13" s="1"/>
  <c r="N39" i="13" s="1"/>
  <c r="L40" i="13"/>
  <c r="M40" i="13" s="1"/>
  <c r="N40" i="13" s="1"/>
  <c r="L41" i="13"/>
  <c r="M41" i="13" s="1"/>
  <c r="N41" i="13" s="1"/>
  <c r="L42" i="13"/>
  <c r="M42" i="13" s="1"/>
  <c r="N42" i="13" s="1"/>
  <c r="L43" i="13"/>
  <c r="M43" i="13" s="1"/>
  <c r="L11" i="13"/>
  <c r="M11" i="13" s="1"/>
  <c r="N11" i="13" s="1"/>
  <c r="G12" i="13"/>
  <c r="G13" i="13"/>
  <c r="G14" i="13"/>
  <c r="AI14" i="13" s="1"/>
  <c r="G15" i="13"/>
  <c r="G16" i="13"/>
  <c r="G17" i="13"/>
  <c r="G18" i="13"/>
  <c r="AI18" i="13" s="1"/>
  <c r="G19" i="13"/>
  <c r="G20" i="13"/>
  <c r="G21" i="13"/>
  <c r="G22" i="13"/>
  <c r="AI22" i="13" s="1"/>
  <c r="G23" i="13"/>
  <c r="G24" i="13"/>
  <c r="G25" i="13"/>
  <c r="G26" i="13"/>
  <c r="AI26" i="13" s="1"/>
  <c r="G27" i="13"/>
  <c r="G28" i="13"/>
  <c r="G29" i="13"/>
  <c r="G30" i="13"/>
  <c r="AI30" i="13" s="1"/>
  <c r="G31" i="13"/>
  <c r="G32" i="13"/>
  <c r="G33" i="13"/>
  <c r="G34" i="13"/>
  <c r="AI34" i="13" s="1"/>
  <c r="G35" i="13"/>
  <c r="G36" i="13"/>
  <c r="G37" i="13"/>
  <c r="G38" i="13"/>
  <c r="AI38" i="13" s="1"/>
  <c r="G39" i="13"/>
  <c r="G40" i="13"/>
  <c r="G41" i="13"/>
  <c r="G42" i="13"/>
  <c r="AI42" i="13" s="1"/>
  <c r="G43" i="13"/>
  <c r="G11" i="14"/>
  <c r="G11" i="13"/>
  <c r="AI11" i="13" l="1"/>
  <c r="AI41" i="13"/>
  <c r="AI37" i="13"/>
  <c r="AI33" i="13"/>
  <c r="AI29" i="13"/>
  <c r="AI25" i="13"/>
  <c r="AI21" i="13"/>
  <c r="AI17" i="13"/>
  <c r="AI13" i="13"/>
  <c r="AI40" i="13"/>
  <c r="AI36" i="13"/>
  <c r="AI32" i="13"/>
  <c r="AI28" i="13"/>
  <c r="AI24" i="13"/>
  <c r="AI20" i="13"/>
  <c r="AI16" i="13"/>
  <c r="AI12" i="13"/>
  <c r="AI43" i="13"/>
  <c r="AI39" i="13"/>
  <c r="AI35" i="13"/>
  <c r="AI31" i="13"/>
  <c r="AI27" i="13"/>
  <c r="AI23" i="13"/>
  <c r="AI19" i="13"/>
  <c r="AI15" i="13"/>
  <c r="AJ35" i="13"/>
  <c r="AK35" i="13" s="1"/>
  <c r="AJ31" i="13"/>
  <c r="AK31" i="13" s="1"/>
  <c r="AJ23" i="13"/>
  <c r="AK23" i="13" s="1"/>
  <c r="AJ19" i="13"/>
  <c r="AK19" i="13" s="1"/>
  <c r="AJ15" i="13"/>
  <c r="W11" i="13"/>
  <c r="X11" i="13" s="1"/>
  <c r="AJ34" i="13"/>
  <c r="AK34" i="13" s="1"/>
  <c r="AJ26" i="13"/>
  <c r="AJ22" i="13"/>
  <c r="AK22" i="13" s="1"/>
  <c r="AJ18" i="13"/>
  <c r="AK18" i="13" s="1"/>
  <c r="AJ14" i="13"/>
  <c r="AK14" i="13" s="1"/>
  <c r="AJ37" i="13"/>
  <c r="AK37" i="13" s="1"/>
  <c r="AJ29" i="13"/>
  <c r="AK29" i="13" s="1"/>
  <c r="AJ21" i="13"/>
  <c r="AK21" i="13" s="1"/>
  <c r="AJ32" i="13"/>
  <c r="AK32" i="13" s="1"/>
  <c r="AJ28" i="13"/>
  <c r="AK28" i="13" s="1"/>
  <c r="AJ12" i="13"/>
  <c r="AK12" i="13" s="1"/>
  <c r="W43" i="13"/>
  <c r="X43" i="13" s="1"/>
  <c r="AJ43" i="13"/>
  <c r="W42" i="13"/>
  <c r="X42" i="13" s="1"/>
  <c r="AJ42" i="13"/>
  <c r="AK42" i="13" s="1"/>
  <c r="W41" i="13"/>
  <c r="X41" i="13" s="1"/>
  <c r="H41" i="13"/>
  <c r="I41" i="13" s="1"/>
  <c r="AJ41" i="13"/>
  <c r="AK41" i="13" s="1"/>
  <c r="W40" i="13"/>
  <c r="X40" i="13" s="1"/>
  <c r="H40" i="13"/>
  <c r="I40" i="13" s="1"/>
  <c r="AJ40" i="13"/>
  <c r="W39" i="13"/>
  <c r="X39" i="13" s="1"/>
  <c r="AJ39" i="13"/>
  <c r="AK39" i="13" s="1"/>
  <c r="W38" i="13"/>
  <c r="X38" i="13" s="1"/>
  <c r="AJ38" i="13"/>
  <c r="AK38" i="13" s="1"/>
  <c r="W37" i="13"/>
  <c r="X37" i="13" s="1"/>
  <c r="W36" i="13"/>
  <c r="X36" i="13" s="1"/>
  <c r="H36" i="13"/>
  <c r="I36" i="13" s="1"/>
  <c r="AJ36" i="13"/>
  <c r="AK36" i="13" s="1"/>
  <c r="W35" i="13"/>
  <c r="X35" i="13" s="1"/>
  <c r="W34" i="13"/>
  <c r="X34" i="13" s="1"/>
  <c r="W33" i="13"/>
  <c r="X33" i="13" s="1"/>
  <c r="AJ33" i="13"/>
  <c r="AK33" i="13" s="1"/>
  <c r="W32" i="13"/>
  <c r="X32" i="13" s="1"/>
  <c r="W31" i="13"/>
  <c r="X31" i="13" s="1"/>
  <c r="AJ30" i="13"/>
  <c r="AK30" i="13" s="1"/>
  <c r="W30" i="13"/>
  <c r="X30" i="13" s="1"/>
  <c r="W29" i="13"/>
  <c r="X29" i="13" s="1"/>
  <c r="W28" i="13"/>
  <c r="X28" i="13" s="1"/>
  <c r="AJ27" i="13"/>
  <c r="AK27" i="13" s="1"/>
  <c r="W27" i="13"/>
  <c r="X27" i="13" s="1"/>
  <c r="W26" i="13"/>
  <c r="X26" i="13" s="1"/>
  <c r="W25" i="13"/>
  <c r="X25" i="13" s="1"/>
  <c r="H25" i="13"/>
  <c r="I25" i="13" s="1"/>
  <c r="AJ25" i="13"/>
  <c r="AK25" i="13" s="1"/>
  <c r="W24" i="13"/>
  <c r="X24" i="13" s="1"/>
  <c r="H24" i="13"/>
  <c r="I24" i="13" s="1"/>
  <c r="AJ24" i="13"/>
  <c r="AK24" i="13" s="1"/>
  <c r="W23" i="13"/>
  <c r="X23" i="13" s="1"/>
  <c r="W22" i="13"/>
  <c r="X22" i="13" s="1"/>
  <c r="W21" i="13"/>
  <c r="X21" i="13" s="1"/>
  <c r="W20" i="13"/>
  <c r="X20" i="13" s="1"/>
  <c r="H20" i="13"/>
  <c r="I20" i="13" s="1"/>
  <c r="AJ20" i="13"/>
  <c r="AK20" i="13" s="1"/>
  <c r="W19" i="13"/>
  <c r="X19" i="13" s="1"/>
  <c r="W18" i="13"/>
  <c r="X18" i="13" s="1"/>
  <c r="W17" i="13"/>
  <c r="X17" i="13" s="1"/>
  <c r="H17" i="13"/>
  <c r="I17" i="13" s="1"/>
  <c r="AJ17" i="13"/>
  <c r="W16" i="13"/>
  <c r="X16" i="13" s="1"/>
  <c r="AJ16" i="13"/>
  <c r="AK16" i="13" s="1"/>
  <c r="W15" i="13"/>
  <c r="X15" i="13" s="1"/>
  <c r="W14" i="13"/>
  <c r="X14" i="13" s="1"/>
  <c r="W13" i="13"/>
  <c r="X13" i="13" s="1"/>
  <c r="H13" i="13"/>
  <c r="I13" i="13" s="1"/>
  <c r="AJ13" i="13"/>
  <c r="AK13" i="13" s="1"/>
  <c r="W12" i="13"/>
  <c r="X12" i="13" s="1"/>
  <c r="H11" i="13"/>
  <c r="I11" i="13" s="1"/>
  <c r="AJ11" i="13"/>
  <c r="AK11" i="13" s="1"/>
  <c r="H16" i="13"/>
  <c r="I16" i="13" s="1"/>
  <c r="H38" i="13"/>
  <c r="I38" i="13" s="1"/>
  <c r="H30" i="13"/>
  <c r="I30" i="13" s="1"/>
  <c r="H34" i="13"/>
  <c r="I34" i="13" s="1"/>
  <c r="H29" i="13"/>
  <c r="I29" i="13" s="1"/>
  <c r="H18" i="13"/>
  <c r="I18" i="13" s="1"/>
  <c r="H12" i="13"/>
  <c r="I12" i="13" s="1"/>
  <c r="H33" i="13"/>
  <c r="I33" i="13" s="1"/>
  <c r="H28" i="13"/>
  <c r="I28" i="13" s="1"/>
  <c r="H22" i="13"/>
  <c r="I22" i="13" s="1"/>
  <c r="H43" i="13"/>
  <c r="I43" i="13" s="1"/>
  <c r="H39" i="13"/>
  <c r="I39" i="13" s="1"/>
  <c r="H35" i="13"/>
  <c r="I35" i="13" s="1"/>
  <c r="H31" i="13"/>
  <c r="I31" i="13" s="1"/>
  <c r="H27" i="13"/>
  <c r="I27" i="13" s="1"/>
  <c r="H23" i="13"/>
  <c r="I23" i="13" s="1"/>
  <c r="H19" i="13"/>
  <c r="I19" i="13" s="1"/>
  <c r="AK15" i="13"/>
  <c r="H15" i="13"/>
  <c r="I15" i="13" s="1"/>
  <c r="H42" i="13"/>
  <c r="I42" i="13" s="1"/>
  <c r="H37" i="13"/>
  <c r="I37" i="13" s="1"/>
  <c r="H32" i="13"/>
  <c r="I32" i="13" s="1"/>
  <c r="H26" i="13"/>
  <c r="I26" i="13" s="1"/>
  <c r="H21" i="13"/>
  <c r="I21" i="13" s="1"/>
  <c r="H14" i="13"/>
  <c r="I14" i="13" s="1"/>
  <c r="M5" i="15"/>
  <c r="AF11" i="14"/>
  <c r="AG11" i="14" s="1"/>
  <c r="AH11" i="14" s="1"/>
  <c r="AF12" i="14"/>
  <c r="AG12" i="14" s="1"/>
  <c r="AH12" i="14" s="1"/>
  <c r="AF13" i="14"/>
  <c r="AG13" i="14" s="1"/>
  <c r="AH13" i="14" s="1"/>
  <c r="AF14" i="14"/>
  <c r="AG14" i="14" s="1"/>
  <c r="AH14" i="14" s="1"/>
  <c r="AF15" i="14"/>
  <c r="AG15" i="14" s="1"/>
  <c r="AH15" i="14" s="1"/>
  <c r="AF16" i="14"/>
  <c r="AG16" i="14" s="1"/>
  <c r="AH16" i="14" s="1"/>
  <c r="AF17" i="14"/>
  <c r="AG17" i="14" s="1"/>
  <c r="AH17" i="14" s="1"/>
  <c r="AF18" i="14"/>
  <c r="AG18" i="14" s="1"/>
  <c r="AH18" i="14" s="1"/>
  <c r="AF19" i="14"/>
  <c r="AG19" i="14" s="1"/>
  <c r="AH19" i="14" s="1"/>
  <c r="AF20" i="14"/>
  <c r="AG20" i="14" s="1"/>
  <c r="AH20" i="14" s="1"/>
  <c r="AF21" i="14"/>
  <c r="AG21" i="14" s="1"/>
  <c r="AH21" i="14" s="1"/>
  <c r="AF22" i="14"/>
  <c r="AG22" i="14" s="1"/>
  <c r="AH22" i="14" s="1"/>
  <c r="AF23" i="14"/>
  <c r="AG23" i="14" s="1"/>
  <c r="AH23" i="14" s="1"/>
  <c r="AF24" i="14"/>
  <c r="AG24" i="14" s="1"/>
  <c r="AH24" i="14" s="1"/>
  <c r="AF25" i="14"/>
  <c r="AG25" i="14" s="1"/>
  <c r="AH25" i="14" s="1"/>
  <c r="AF26" i="14"/>
  <c r="AG26" i="14" s="1"/>
  <c r="AH26" i="14" s="1"/>
  <c r="AF27" i="14"/>
  <c r="AG27" i="14" s="1"/>
  <c r="AH27" i="14" s="1"/>
  <c r="AF28" i="14"/>
  <c r="AG28" i="14" s="1"/>
  <c r="AH28" i="14" s="1"/>
  <c r="AF29" i="14"/>
  <c r="AG29" i="14" s="1"/>
  <c r="AH29" i="14" s="1"/>
  <c r="AF30" i="14"/>
  <c r="AG30" i="14" s="1"/>
  <c r="AH30" i="14" s="1"/>
  <c r="AF31" i="14"/>
  <c r="AG31" i="14" s="1"/>
  <c r="AH31" i="14" s="1"/>
  <c r="AF32" i="14"/>
  <c r="AG32" i="14" s="1"/>
  <c r="AH32" i="14" s="1"/>
  <c r="AF33" i="14"/>
  <c r="AG33" i="14" s="1"/>
  <c r="AH33" i="14" s="1"/>
  <c r="AF34" i="14"/>
  <c r="AG34" i="14" s="1"/>
  <c r="AH34" i="14" s="1"/>
  <c r="AF35" i="14"/>
  <c r="AG35" i="14" s="1"/>
  <c r="AH35" i="14" s="1"/>
  <c r="AF36" i="14"/>
  <c r="AG36" i="14" s="1"/>
  <c r="AH36" i="14" s="1"/>
  <c r="AF37" i="14"/>
  <c r="AG37" i="14" s="1"/>
  <c r="AH37" i="14" s="1"/>
  <c r="AF38" i="14"/>
  <c r="AG38" i="14" s="1"/>
  <c r="AH38" i="14" s="1"/>
  <c r="AF39" i="14"/>
  <c r="AG39" i="14" s="1"/>
  <c r="AH39" i="14" s="1"/>
  <c r="AF40" i="14"/>
  <c r="AG40" i="14" s="1"/>
  <c r="AH40" i="14" s="1"/>
  <c r="AF41" i="14"/>
  <c r="AG41" i="14" s="1"/>
  <c r="AH41" i="14" s="1"/>
  <c r="AF42" i="14"/>
  <c r="AG42" i="14" s="1"/>
  <c r="AH42" i="14" s="1"/>
  <c r="AF43" i="14"/>
  <c r="AG43" i="14" s="1"/>
  <c r="AH43" i="14" s="1"/>
  <c r="AF44" i="14"/>
  <c r="AG44" i="14" s="1"/>
  <c r="AH44" i="14" s="1"/>
  <c r="AF45" i="14"/>
  <c r="AG45" i="14" s="1"/>
  <c r="AH45" i="14" s="1"/>
  <c r="AF46" i="14"/>
  <c r="AG46" i="14" s="1"/>
  <c r="AH46" i="14" s="1"/>
  <c r="AF47" i="14"/>
  <c r="AG47" i="14" s="1"/>
  <c r="AH47" i="14" s="1"/>
  <c r="AF48" i="14"/>
  <c r="AG48" i="14" s="1"/>
  <c r="AH48" i="14" s="1"/>
  <c r="AF49" i="14"/>
  <c r="AG49" i="14" s="1"/>
  <c r="AH49" i="14" s="1"/>
  <c r="AF50" i="14"/>
  <c r="AG50" i="14" s="1"/>
  <c r="AH50" i="14" s="1"/>
  <c r="AF51" i="14"/>
  <c r="AG51" i="14" s="1"/>
  <c r="AH51" i="14" s="1"/>
  <c r="AF52" i="14"/>
  <c r="AG52" i="14" s="1"/>
  <c r="AH52" i="14" s="1"/>
  <c r="AF53" i="14"/>
  <c r="AG53" i="14" s="1"/>
  <c r="AH53" i="14" s="1"/>
  <c r="AF54" i="14"/>
  <c r="AG54" i="14" s="1"/>
  <c r="AH54" i="14" s="1"/>
  <c r="AF55" i="14"/>
  <c r="AG55" i="14" s="1"/>
  <c r="AH55" i="14" s="1"/>
  <c r="AF56" i="14"/>
  <c r="AG56" i="14" s="1"/>
  <c r="AH56" i="14" s="1"/>
  <c r="AF57" i="14"/>
  <c r="AG57" i="14" s="1"/>
  <c r="AH57" i="14" s="1"/>
  <c r="AF58" i="14"/>
  <c r="AG58" i="14" s="1"/>
  <c r="AH58" i="14" s="1"/>
  <c r="AF59" i="14"/>
  <c r="AG59" i="14" s="1"/>
  <c r="AH59" i="14" s="1"/>
  <c r="AA11" i="14"/>
  <c r="AB11" i="14" s="1"/>
  <c r="AC11" i="14" s="1"/>
  <c r="AA12" i="14"/>
  <c r="AB12" i="14" s="1"/>
  <c r="AC12" i="14" s="1"/>
  <c r="AA13" i="14"/>
  <c r="AB13" i="14" s="1"/>
  <c r="AC13" i="14" s="1"/>
  <c r="AA14" i="14"/>
  <c r="AB14" i="14" s="1"/>
  <c r="AC14" i="14" s="1"/>
  <c r="AA15" i="14"/>
  <c r="AB15" i="14" s="1"/>
  <c r="AC15" i="14" s="1"/>
  <c r="AA16" i="14"/>
  <c r="AB16" i="14" s="1"/>
  <c r="AC16" i="14" s="1"/>
  <c r="AA17" i="14"/>
  <c r="AB17" i="14" s="1"/>
  <c r="AC17" i="14" s="1"/>
  <c r="AA18" i="14"/>
  <c r="AB18" i="14" s="1"/>
  <c r="AC18" i="14" s="1"/>
  <c r="AA19" i="14"/>
  <c r="AB19" i="14" s="1"/>
  <c r="AC19" i="14" s="1"/>
  <c r="AA20" i="14"/>
  <c r="AB20" i="14" s="1"/>
  <c r="AC20" i="14" s="1"/>
  <c r="AA21" i="14"/>
  <c r="AB21" i="14" s="1"/>
  <c r="AC21" i="14" s="1"/>
  <c r="AB22" i="14"/>
  <c r="AC22" i="14" s="1"/>
  <c r="AA23" i="14"/>
  <c r="AB23" i="14" s="1"/>
  <c r="AC23" i="14" s="1"/>
  <c r="AA24" i="14"/>
  <c r="AB24" i="14" s="1"/>
  <c r="AC24" i="14" s="1"/>
  <c r="AA25" i="14"/>
  <c r="AB25" i="14" s="1"/>
  <c r="AC25" i="14" s="1"/>
  <c r="AA26" i="14"/>
  <c r="AB26" i="14" s="1"/>
  <c r="AC26" i="14" s="1"/>
  <c r="AA27" i="14"/>
  <c r="AB27" i="14" s="1"/>
  <c r="AC27" i="14" s="1"/>
  <c r="AA28" i="14"/>
  <c r="AB28" i="14" s="1"/>
  <c r="AC28" i="14" s="1"/>
  <c r="AA29" i="14"/>
  <c r="AB29" i="14" s="1"/>
  <c r="AC29" i="14" s="1"/>
  <c r="AA30" i="14"/>
  <c r="AB30" i="14" s="1"/>
  <c r="AC30" i="14" s="1"/>
  <c r="AA31" i="14"/>
  <c r="AB31" i="14" s="1"/>
  <c r="AC31" i="14" s="1"/>
  <c r="AA32" i="14"/>
  <c r="AB32" i="14" s="1"/>
  <c r="AC32" i="14" s="1"/>
  <c r="AA33" i="14"/>
  <c r="AB33" i="14" s="1"/>
  <c r="AC33" i="14" s="1"/>
  <c r="AA34" i="14"/>
  <c r="AB34" i="14" s="1"/>
  <c r="AC34" i="14" s="1"/>
  <c r="AA35" i="14"/>
  <c r="AB35" i="14" s="1"/>
  <c r="AC35" i="14" s="1"/>
  <c r="AA36" i="14"/>
  <c r="AB36" i="14" s="1"/>
  <c r="AC36" i="14" s="1"/>
  <c r="AA37" i="14"/>
  <c r="AB37" i="14" s="1"/>
  <c r="AC37" i="14" s="1"/>
  <c r="AA38" i="14"/>
  <c r="AB38" i="14" s="1"/>
  <c r="AC38" i="14" s="1"/>
  <c r="AA39" i="14"/>
  <c r="AB39" i="14" s="1"/>
  <c r="AC39" i="14" s="1"/>
  <c r="AA40" i="14"/>
  <c r="AB40" i="14" s="1"/>
  <c r="AC40" i="14" s="1"/>
  <c r="AA41" i="14"/>
  <c r="AB41" i="14" s="1"/>
  <c r="AC41" i="14" s="1"/>
  <c r="AA42" i="14"/>
  <c r="AB42" i="14" s="1"/>
  <c r="AC42" i="14" s="1"/>
  <c r="AA43" i="14"/>
  <c r="AB43" i="14" s="1"/>
  <c r="AC43" i="14" s="1"/>
  <c r="AA44" i="14"/>
  <c r="AB44" i="14" s="1"/>
  <c r="AC44" i="14" s="1"/>
  <c r="AA45" i="14"/>
  <c r="AB45" i="14" s="1"/>
  <c r="AC45" i="14" s="1"/>
  <c r="AA46" i="14"/>
  <c r="AB46" i="14" s="1"/>
  <c r="AC46" i="14" s="1"/>
  <c r="AA47" i="14"/>
  <c r="AB47" i="14" s="1"/>
  <c r="AC47" i="14" s="1"/>
  <c r="AA48" i="14"/>
  <c r="AB48" i="14" s="1"/>
  <c r="AC48" i="14" s="1"/>
  <c r="AA49" i="14"/>
  <c r="AB49" i="14" s="1"/>
  <c r="AC49" i="14" s="1"/>
  <c r="AA50" i="14"/>
  <c r="AB50" i="14" s="1"/>
  <c r="AC50" i="14" s="1"/>
  <c r="AA51" i="14"/>
  <c r="AB51" i="14" s="1"/>
  <c r="AC51" i="14" s="1"/>
  <c r="AA52" i="14"/>
  <c r="AB52" i="14" s="1"/>
  <c r="AC52" i="14" s="1"/>
  <c r="AA53" i="14"/>
  <c r="AB53" i="14" s="1"/>
  <c r="AC53" i="14" s="1"/>
  <c r="AA54" i="14"/>
  <c r="AB54" i="14" s="1"/>
  <c r="AC54" i="14" s="1"/>
  <c r="AA55" i="14"/>
  <c r="AB55" i="14" s="1"/>
  <c r="AC55" i="14" s="1"/>
  <c r="AA56" i="14"/>
  <c r="AB56" i="14" s="1"/>
  <c r="AC56" i="14" s="1"/>
  <c r="AA57" i="14"/>
  <c r="AB57" i="14" s="1"/>
  <c r="AC57" i="14" s="1"/>
  <c r="AA58" i="14"/>
  <c r="AB58" i="14" s="1"/>
  <c r="AC58" i="14" s="1"/>
  <c r="AA59" i="14"/>
  <c r="AB59" i="14" s="1"/>
  <c r="AC59" i="14" s="1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X38" i="14"/>
  <c r="X39" i="14"/>
  <c r="X40" i="14"/>
  <c r="X41" i="14"/>
  <c r="X42" i="14"/>
  <c r="X43" i="14"/>
  <c r="X44" i="14"/>
  <c r="X45" i="14"/>
  <c r="X46" i="14"/>
  <c r="X47" i="14"/>
  <c r="X48" i="14"/>
  <c r="X49" i="14"/>
  <c r="X50" i="14"/>
  <c r="X51" i="14"/>
  <c r="X52" i="14"/>
  <c r="X53" i="14"/>
  <c r="X54" i="14"/>
  <c r="X55" i="14"/>
  <c r="X56" i="14"/>
  <c r="X57" i="14"/>
  <c r="X58" i="14"/>
  <c r="X59" i="14"/>
  <c r="V11" i="14"/>
  <c r="W11" i="14" s="1"/>
  <c r="X11" i="14" s="1"/>
  <c r="S59" i="14"/>
  <c r="Q11" i="14"/>
  <c r="R11" i="14" s="1"/>
  <c r="S11" i="14" s="1"/>
  <c r="Q12" i="14"/>
  <c r="R12" i="14" s="1"/>
  <c r="S12" i="14" s="1"/>
  <c r="Q13" i="14"/>
  <c r="R13" i="14" s="1"/>
  <c r="S13" i="14" s="1"/>
  <c r="Q14" i="14"/>
  <c r="R14" i="14" s="1"/>
  <c r="S14" i="14" s="1"/>
  <c r="Q15" i="14"/>
  <c r="R15" i="14" s="1"/>
  <c r="S15" i="14" s="1"/>
  <c r="Q16" i="14"/>
  <c r="R16" i="14" s="1"/>
  <c r="S16" i="14" s="1"/>
  <c r="Q17" i="14"/>
  <c r="R17" i="14" s="1"/>
  <c r="S17" i="14" s="1"/>
  <c r="Q18" i="14"/>
  <c r="R18" i="14" s="1"/>
  <c r="S18" i="14" s="1"/>
  <c r="Q19" i="14"/>
  <c r="R19" i="14" s="1"/>
  <c r="S19" i="14" s="1"/>
  <c r="Q20" i="14"/>
  <c r="R20" i="14" s="1"/>
  <c r="S20" i="14" s="1"/>
  <c r="Q21" i="14"/>
  <c r="R21" i="14" s="1"/>
  <c r="S21" i="14" s="1"/>
  <c r="Q22" i="14"/>
  <c r="R22" i="14" s="1"/>
  <c r="S22" i="14" s="1"/>
  <c r="Q23" i="14"/>
  <c r="R23" i="14" s="1"/>
  <c r="S23" i="14" s="1"/>
  <c r="Q24" i="14"/>
  <c r="R24" i="14" s="1"/>
  <c r="S24" i="14" s="1"/>
  <c r="Q25" i="14"/>
  <c r="R25" i="14" s="1"/>
  <c r="S25" i="14" s="1"/>
  <c r="Q26" i="14"/>
  <c r="R26" i="14" s="1"/>
  <c r="S26" i="14" s="1"/>
  <c r="Q27" i="14"/>
  <c r="R27" i="14" s="1"/>
  <c r="S27" i="14" s="1"/>
  <c r="Q28" i="14"/>
  <c r="R28" i="14" s="1"/>
  <c r="S28" i="14" s="1"/>
  <c r="Q29" i="14"/>
  <c r="R29" i="14" s="1"/>
  <c r="S29" i="14" s="1"/>
  <c r="Q30" i="14"/>
  <c r="R30" i="14" s="1"/>
  <c r="S30" i="14" s="1"/>
  <c r="Q31" i="14"/>
  <c r="R31" i="14" s="1"/>
  <c r="S31" i="14" s="1"/>
  <c r="Q32" i="14"/>
  <c r="R32" i="14" s="1"/>
  <c r="S32" i="14" s="1"/>
  <c r="Q33" i="14"/>
  <c r="R33" i="14" s="1"/>
  <c r="S33" i="14" s="1"/>
  <c r="Q34" i="14"/>
  <c r="R34" i="14" s="1"/>
  <c r="S34" i="14" s="1"/>
  <c r="Q35" i="14"/>
  <c r="R35" i="14" s="1"/>
  <c r="S35" i="14" s="1"/>
  <c r="Q36" i="14"/>
  <c r="R36" i="14" s="1"/>
  <c r="S36" i="14" s="1"/>
  <c r="Q37" i="14"/>
  <c r="R37" i="14" s="1"/>
  <c r="S37" i="14" s="1"/>
  <c r="Q38" i="14"/>
  <c r="R38" i="14" s="1"/>
  <c r="S38" i="14" s="1"/>
  <c r="Q39" i="14"/>
  <c r="R39" i="14" s="1"/>
  <c r="S39" i="14" s="1"/>
  <c r="Q40" i="14"/>
  <c r="R40" i="14" s="1"/>
  <c r="S40" i="14" s="1"/>
  <c r="Q41" i="14"/>
  <c r="R41" i="14" s="1"/>
  <c r="S41" i="14" s="1"/>
  <c r="Q42" i="14"/>
  <c r="R42" i="14" s="1"/>
  <c r="S42" i="14" s="1"/>
  <c r="Q43" i="14"/>
  <c r="R43" i="14" s="1"/>
  <c r="S43" i="14" s="1"/>
  <c r="Q44" i="14"/>
  <c r="R44" i="14" s="1"/>
  <c r="S44" i="14" s="1"/>
  <c r="Q45" i="14"/>
  <c r="R45" i="14" s="1"/>
  <c r="S45" i="14" s="1"/>
  <c r="Q46" i="14"/>
  <c r="R46" i="14" s="1"/>
  <c r="S46" i="14" s="1"/>
  <c r="Q47" i="14"/>
  <c r="R47" i="14" s="1"/>
  <c r="S47" i="14" s="1"/>
  <c r="Q48" i="14"/>
  <c r="R48" i="14" s="1"/>
  <c r="S48" i="14" s="1"/>
  <c r="Q49" i="14"/>
  <c r="R49" i="14" s="1"/>
  <c r="S49" i="14" s="1"/>
  <c r="Q50" i="14"/>
  <c r="R50" i="14" s="1"/>
  <c r="S50" i="14" s="1"/>
  <c r="Q51" i="14"/>
  <c r="R51" i="14" s="1"/>
  <c r="S51" i="14" s="1"/>
  <c r="Q52" i="14"/>
  <c r="R52" i="14" s="1"/>
  <c r="S52" i="14" s="1"/>
  <c r="Q53" i="14"/>
  <c r="R53" i="14" s="1"/>
  <c r="S53" i="14" s="1"/>
  <c r="Q54" i="14"/>
  <c r="R54" i="14" s="1"/>
  <c r="S54" i="14" s="1"/>
  <c r="Q55" i="14"/>
  <c r="R55" i="14" s="1"/>
  <c r="S55" i="14" s="1"/>
  <c r="Q56" i="14"/>
  <c r="R56" i="14" s="1"/>
  <c r="S56" i="14" s="1"/>
  <c r="Q57" i="14"/>
  <c r="R57" i="14" s="1"/>
  <c r="S57" i="14" s="1"/>
  <c r="Q58" i="14"/>
  <c r="R58" i="14" s="1"/>
  <c r="S58" i="14" s="1"/>
  <c r="Q59" i="14"/>
  <c r="R59" i="14" s="1"/>
  <c r="N58" i="14" l="1"/>
  <c r="L11" i="14"/>
  <c r="AI11" i="14" s="1"/>
  <c r="AJ11" i="14" s="1"/>
  <c r="L12" i="14"/>
  <c r="M12" i="14" s="1"/>
  <c r="N12" i="14" s="1"/>
  <c r="L13" i="14"/>
  <c r="M13" i="14" s="1"/>
  <c r="N13" i="14" s="1"/>
  <c r="L14" i="14"/>
  <c r="M14" i="14" s="1"/>
  <c r="N14" i="14" s="1"/>
  <c r="L15" i="14"/>
  <c r="M15" i="14" s="1"/>
  <c r="N15" i="14" s="1"/>
  <c r="L16" i="14"/>
  <c r="M16" i="14" s="1"/>
  <c r="N16" i="14" s="1"/>
  <c r="L17" i="14"/>
  <c r="M17" i="14" s="1"/>
  <c r="N17" i="14" s="1"/>
  <c r="L18" i="14"/>
  <c r="M18" i="14" s="1"/>
  <c r="N18" i="14" s="1"/>
  <c r="L19" i="14"/>
  <c r="M19" i="14" s="1"/>
  <c r="N19" i="14" s="1"/>
  <c r="L20" i="14"/>
  <c r="M20" i="14" s="1"/>
  <c r="N20" i="14" s="1"/>
  <c r="L21" i="14"/>
  <c r="M21" i="14" s="1"/>
  <c r="N21" i="14" s="1"/>
  <c r="L22" i="14"/>
  <c r="M22" i="14" s="1"/>
  <c r="N22" i="14" s="1"/>
  <c r="L23" i="14"/>
  <c r="M23" i="14" s="1"/>
  <c r="N23" i="14" s="1"/>
  <c r="L24" i="14"/>
  <c r="M24" i="14" s="1"/>
  <c r="N24" i="14" s="1"/>
  <c r="L25" i="14"/>
  <c r="M25" i="14" s="1"/>
  <c r="N25" i="14" s="1"/>
  <c r="L26" i="14"/>
  <c r="M26" i="14" s="1"/>
  <c r="N26" i="14" s="1"/>
  <c r="L27" i="14"/>
  <c r="M27" i="14" s="1"/>
  <c r="N27" i="14" s="1"/>
  <c r="L28" i="14"/>
  <c r="M28" i="14" s="1"/>
  <c r="N28" i="14" s="1"/>
  <c r="L29" i="14"/>
  <c r="M29" i="14" s="1"/>
  <c r="N29" i="14" s="1"/>
  <c r="L30" i="14"/>
  <c r="M30" i="14" s="1"/>
  <c r="N30" i="14" s="1"/>
  <c r="L31" i="14"/>
  <c r="M31" i="14" s="1"/>
  <c r="N31" i="14" s="1"/>
  <c r="L32" i="14"/>
  <c r="M32" i="14" s="1"/>
  <c r="N32" i="14" s="1"/>
  <c r="L33" i="14"/>
  <c r="M33" i="14" s="1"/>
  <c r="N33" i="14" s="1"/>
  <c r="L34" i="14"/>
  <c r="M34" i="14" s="1"/>
  <c r="N34" i="14" s="1"/>
  <c r="L35" i="14"/>
  <c r="M35" i="14" s="1"/>
  <c r="N35" i="14" s="1"/>
  <c r="L36" i="14"/>
  <c r="M36" i="14" s="1"/>
  <c r="N36" i="14" s="1"/>
  <c r="L37" i="14"/>
  <c r="M37" i="14" s="1"/>
  <c r="N37" i="14" s="1"/>
  <c r="L38" i="14"/>
  <c r="M38" i="14" s="1"/>
  <c r="N38" i="14" s="1"/>
  <c r="L39" i="14"/>
  <c r="M39" i="14" s="1"/>
  <c r="N39" i="14" s="1"/>
  <c r="L40" i="14"/>
  <c r="M40" i="14" s="1"/>
  <c r="N40" i="14" s="1"/>
  <c r="L41" i="14"/>
  <c r="M41" i="14" s="1"/>
  <c r="N41" i="14" s="1"/>
  <c r="L42" i="14"/>
  <c r="M42" i="14" s="1"/>
  <c r="N42" i="14" s="1"/>
  <c r="L43" i="14"/>
  <c r="M43" i="14" s="1"/>
  <c r="N43" i="14" s="1"/>
  <c r="L44" i="14"/>
  <c r="M44" i="14" s="1"/>
  <c r="N44" i="14" s="1"/>
  <c r="L45" i="14"/>
  <c r="M45" i="14" s="1"/>
  <c r="N45" i="14" s="1"/>
  <c r="L46" i="14"/>
  <c r="M46" i="14" s="1"/>
  <c r="N46" i="14" s="1"/>
  <c r="L47" i="14"/>
  <c r="M47" i="14" s="1"/>
  <c r="N47" i="14" s="1"/>
  <c r="L48" i="14"/>
  <c r="M48" i="14" s="1"/>
  <c r="N48" i="14" s="1"/>
  <c r="L49" i="14"/>
  <c r="M49" i="14" s="1"/>
  <c r="N49" i="14" s="1"/>
  <c r="L50" i="14"/>
  <c r="M50" i="14" s="1"/>
  <c r="N50" i="14" s="1"/>
  <c r="L51" i="14"/>
  <c r="M51" i="14" s="1"/>
  <c r="N51" i="14" s="1"/>
  <c r="L52" i="14"/>
  <c r="M52" i="14" s="1"/>
  <c r="N52" i="14" s="1"/>
  <c r="L53" i="14"/>
  <c r="M53" i="14" s="1"/>
  <c r="N53" i="14" s="1"/>
  <c r="L54" i="14"/>
  <c r="M54" i="14" s="1"/>
  <c r="N54" i="14" s="1"/>
  <c r="L55" i="14"/>
  <c r="M55" i="14" s="1"/>
  <c r="N55" i="14" s="1"/>
  <c r="L56" i="14"/>
  <c r="L57" i="14"/>
  <c r="M57" i="14" s="1"/>
  <c r="N57" i="14" s="1"/>
  <c r="L58" i="14"/>
  <c r="M58" i="14" s="1"/>
  <c r="L59" i="14"/>
  <c r="M59" i="14" s="1"/>
  <c r="N59" i="14" s="1"/>
  <c r="I56" i="14"/>
  <c r="I58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7" i="14"/>
  <c r="G58" i="14"/>
  <c r="G59" i="14"/>
  <c r="AI51" i="14" l="1"/>
  <c r="AJ51" i="14" s="1"/>
  <c r="AK51" i="14" s="1"/>
  <c r="AI43" i="14"/>
  <c r="AJ43" i="14" s="1"/>
  <c r="AK43" i="14" s="1"/>
  <c r="AI35" i="14"/>
  <c r="AJ35" i="14" s="1"/>
  <c r="AK35" i="14" s="1"/>
  <c r="AI27" i="14"/>
  <c r="AJ27" i="14" s="1"/>
  <c r="AK27" i="14" s="1"/>
  <c r="AI23" i="14"/>
  <c r="AJ23" i="14" s="1"/>
  <c r="AK23" i="14" s="1"/>
  <c r="AI15" i="14"/>
  <c r="AJ15" i="14" s="1"/>
  <c r="AK15" i="14" s="1"/>
  <c r="AI59" i="14"/>
  <c r="AJ59" i="14" s="1"/>
  <c r="AI50" i="14"/>
  <c r="AJ50" i="14" s="1"/>
  <c r="AK50" i="14" s="1"/>
  <c r="AI42" i="14"/>
  <c r="AJ42" i="14" s="1"/>
  <c r="AK42" i="14" s="1"/>
  <c r="AI34" i="14"/>
  <c r="AJ34" i="14" s="1"/>
  <c r="AK34" i="14" s="1"/>
  <c r="AI26" i="14"/>
  <c r="AJ26" i="14" s="1"/>
  <c r="AK26" i="14" s="1"/>
  <c r="AI56" i="14"/>
  <c r="AJ56" i="14" s="1"/>
  <c r="AK56" i="14" s="1"/>
  <c r="AI58" i="14"/>
  <c r="AJ58" i="14" s="1"/>
  <c r="AI53" i="14"/>
  <c r="AJ53" i="14" s="1"/>
  <c r="AK53" i="14" s="1"/>
  <c r="AI49" i="14"/>
  <c r="AJ49" i="14" s="1"/>
  <c r="AK49" i="14" s="1"/>
  <c r="AI45" i="14"/>
  <c r="AJ45" i="14" s="1"/>
  <c r="AK45" i="14" s="1"/>
  <c r="AI41" i="14"/>
  <c r="AI37" i="14"/>
  <c r="AJ37" i="14" s="1"/>
  <c r="AK37" i="14" s="1"/>
  <c r="AI33" i="14"/>
  <c r="AJ33" i="14" s="1"/>
  <c r="AK33" i="14" s="1"/>
  <c r="AI29" i="14"/>
  <c r="AJ29" i="14" s="1"/>
  <c r="AK29" i="14" s="1"/>
  <c r="AI25" i="14"/>
  <c r="AI21" i="14"/>
  <c r="AJ21" i="14" s="1"/>
  <c r="AK21" i="14" s="1"/>
  <c r="AI17" i="14"/>
  <c r="AJ17" i="14" s="1"/>
  <c r="AK17" i="14" s="1"/>
  <c r="AI13" i="14"/>
  <c r="AJ13" i="14" s="1"/>
  <c r="AK13" i="14" s="1"/>
  <c r="AI55" i="14"/>
  <c r="AJ55" i="14" s="1"/>
  <c r="AK55" i="14" s="1"/>
  <c r="AI47" i="14"/>
  <c r="AJ47" i="14" s="1"/>
  <c r="AK47" i="14" s="1"/>
  <c r="AI39" i="14"/>
  <c r="AJ39" i="14" s="1"/>
  <c r="AK39" i="14" s="1"/>
  <c r="AI31" i="14"/>
  <c r="AJ31" i="14" s="1"/>
  <c r="AK31" i="14" s="1"/>
  <c r="AI19" i="14"/>
  <c r="AJ19" i="14" s="1"/>
  <c r="AK19" i="14" s="1"/>
  <c r="AI54" i="14"/>
  <c r="AJ54" i="14" s="1"/>
  <c r="AK54" i="14" s="1"/>
  <c r="AI46" i="14"/>
  <c r="AJ46" i="14" s="1"/>
  <c r="AK46" i="14" s="1"/>
  <c r="AI38" i="14"/>
  <c r="AJ38" i="14" s="1"/>
  <c r="AK38" i="14" s="1"/>
  <c r="AI30" i="14"/>
  <c r="AJ30" i="14" s="1"/>
  <c r="AK30" i="14" s="1"/>
  <c r="AI22" i="14"/>
  <c r="AJ22" i="14" s="1"/>
  <c r="AK22" i="14" s="1"/>
  <c r="AI18" i="14"/>
  <c r="AJ18" i="14" s="1"/>
  <c r="AK18" i="14" s="1"/>
  <c r="AI14" i="14"/>
  <c r="AJ14" i="14" s="1"/>
  <c r="AK14" i="14" s="1"/>
  <c r="AI57" i="14"/>
  <c r="AI52" i="14"/>
  <c r="AJ52" i="14" s="1"/>
  <c r="AK52" i="14" s="1"/>
  <c r="AI48" i="14"/>
  <c r="AJ48" i="14" s="1"/>
  <c r="AK48" i="14" s="1"/>
  <c r="AI44" i="14"/>
  <c r="AJ44" i="14" s="1"/>
  <c r="AK44" i="14" s="1"/>
  <c r="AI40" i="14"/>
  <c r="AJ40" i="14" s="1"/>
  <c r="AK40" i="14" s="1"/>
  <c r="AI36" i="14"/>
  <c r="AJ36" i="14" s="1"/>
  <c r="AK36" i="14" s="1"/>
  <c r="AI32" i="14"/>
  <c r="AJ32" i="14" s="1"/>
  <c r="AK32" i="14" s="1"/>
  <c r="AI28" i="14"/>
  <c r="AJ28" i="14" s="1"/>
  <c r="AK28" i="14" s="1"/>
  <c r="AI24" i="14"/>
  <c r="AI20" i="14"/>
  <c r="AJ20" i="14" s="1"/>
  <c r="AK20" i="14" s="1"/>
  <c r="AI16" i="14"/>
  <c r="AJ16" i="14" s="1"/>
  <c r="AK16" i="14" s="1"/>
  <c r="AI12" i="14"/>
  <c r="AJ12" i="14" s="1"/>
  <c r="AK12" i="14" s="1"/>
  <c r="AJ41" i="14"/>
  <c r="AK41" i="14" s="1"/>
  <c r="AJ25" i="14"/>
  <c r="AK25" i="14" s="1"/>
  <c r="AJ57" i="14"/>
  <c r="AK57" i="14" s="1"/>
  <c r="AJ24" i="14"/>
  <c r="AK24" i="14" s="1"/>
  <c r="AK11" i="14"/>
  <c r="H58" i="14"/>
  <c r="M56" i="14"/>
  <c r="N56" i="14" s="1"/>
  <c r="H50" i="14"/>
  <c r="I50" i="14" s="1"/>
  <c r="H42" i="14"/>
  <c r="I42" i="14" s="1"/>
  <c r="H34" i="14"/>
  <c r="I34" i="14" s="1"/>
  <c r="H26" i="14"/>
  <c r="I26" i="14" s="1"/>
  <c r="H18" i="14"/>
  <c r="I18" i="14" s="1"/>
  <c r="H36" i="14"/>
  <c r="I36" i="14" s="1"/>
  <c r="M11" i="14"/>
  <c r="N11" i="14" s="1"/>
  <c r="H20" i="14"/>
  <c r="I20" i="14" s="1"/>
  <c r="H52" i="14"/>
  <c r="I52" i="14" s="1"/>
  <c r="H32" i="14"/>
  <c r="I32" i="14" s="1"/>
  <c r="H44" i="14"/>
  <c r="I44" i="14" s="1"/>
  <c r="H12" i="14"/>
  <c r="I12" i="14" s="1"/>
  <c r="H48" i="14"/>
  <c r="I48" i="14" s="1"/>
  <c r="H16" i="14"/>
  <c r="I16" i="14" s="1"/>
  <c r="H28" i="14"/>
  <c r="I28" i="14" s="1"/>
  <c r="H40" i="14"/>
  <c r="I40" i="14" s="1"/>
  <c r="H24" i="14"/>
  <c r="I24" i="14" s="1"/>
  <c r="H55" i="14"/>
  <c r="I55" i="14" s="1"/>
  <c r="H51" i="14"/>
  <c r="I51" i="14" s="1"/>
  <c r="H47" i="14"/>
  <c r="I47" i="14" s="1"/>
  <c r="H43" i="14"/>
  <c r="I43" i="14" s="1"/>
  <c r="H39" i="14"/>
  <c r="I39" i="14" s="1"/>
  <c r="H35" i="14"/>
  <c r="I35" i="14" s="1"/>
  <c r="H31" i="14"/>
  <c r="I31" i="14" s="1"/>
  <c r="H27" i="14"/>
  <c r="I27" i="14" s="1"/>
  <c r="H23" i="14"/>
  <c r="I23" i="14" s="1"/>
  <c r="H19" i="14"/>
  <c r="I19" i="14" s="1"/>
  <c r="H15" i="14"/>
  <c r="I15" i="14" s="1"/>
  <c r="H11" i="14"/>
  <c r="I11" i="14" s="1"/>
  <c r="H54" i="14"/>
  <c r="I54" i="14" s="1"/>
  <c r="H46" i="14"/>
  <c r="I46" i="14" s="1"/>
  <c r="H38" i="14"/>
  <c r="I38" i="14" s="1"/>
  <c r="H30" i="14"/>
  <c r="I30" i="14" s="1"/>
  <c r="H22" i="14"/>
  <c r="I22" i="14" s="1"/>
  <c r="H14" i="14"/>
  <c r="I14" i="14" s="1"/>
  <c r="H59" i="14"/>
  <c r="I59" i="14" s="1"/>
  <c r="H57" i="14"/>
  <c r="I57" i="14" s="1"/>
  <c r="H53" i="14"/>
  <c r="I53" i="14" s="1"/>
  <c r="H49" i="14"/>
  <c r="I49" i="14" s="1"/>
  <c r="H45" i="14"/>
  <c r="I45" i="14" s="1"/>
  <c r="H41" i="14"/>
  <c r="I41" i="14" s="1"/>
  <c r="H37" i="14"/>
  <c r="I37" i="14" s="1"/>
  <c r="H33" i="14"/>
  <c r="I33" i="14" s="1"/>
  <c r="H29" i="14"/>
  <c r="I29" i="14" s="1"/>
  <c r="H25" i="14"/>
  <c r="I25" i="14" s="1"/>
  <c r="H21" i="14"/>
  <c r="I21" i="14" s="1"/>
  <c r="H17" i="14"/>
  <c r="I17" i="14" s="1"/>
  <c r="H13" i="14"/>
  <c r="I13" i="14" s="1"/>
  <c r="K12" i="15"/>
  <c r="I12" i="15"/>
  <c r="K12" i="16"/>
  <c r="Z17" i="16" l="1"/>
  <c r="Z18" i="16"/>
  <c r="Y16" i="16"/>
  <c r="AA18" i="16"/>
  <c r="M16" i="16"/>
  <c r="M17" i="16"/>
  <c r="M18" i="16"/>
  <c r="M19" i="16"/>
  <c r="M20" i="16"/>
  <c r="M21" i="16"/>
  <c r="AA21" i="16"/>
  <c r="Z21" i="16"/>
  <c r="V21" i="16"/>
  <c r="S21" i="16"/>
  <c r="P21" i="16"/>
  <c r="J21" i="16"/>
  <c r="G21" i="16"/>
  <c r="AA20" i="16"/>
  <c r="V20" i="16"/>
  <c r="S20" i="16"/>
  <c r="P20" i="16"/>
  <c r="J20" i="16"/>
  <c r="G20" i="16"/>
  <c r="AA19" i="16"/>
  <c r="Z19" i="16"/>
  <c r="V19" i="16"/>
  <c r="S19" i="16"/>
  <c r="P19" i="16"/>
  <c r="J19" i="16"/>
  <c r="G19" i="16"/>
  <c r="V18" i="16"/>
  <c r="S18" i="16"/>
  <c r="P18" i="16"/>
  <c r="J18" i="16"/>
  <c r="G18" i="16"/>
  <c r="AA17" i="16"/>
  <c r="V17" i="16"/>
  <c r="S17" i="16"/>
  <c r="P17" i="16"/>
  <c r="J17" i="16"/>
  <c r="G17" i="16"/>
  <c r="Z16" i="16"/>
  <c r="V16" i="16"/>
  <c r="S16" i="16"/>
  <c r="P16" i="16"/>
  <c r="J16" i="16"/>
  <c r="G16" i="16"/>
  <c r="M11" i="16"/>
  <c r="M10" i="16"/>
  <c r="M9" i="16"/>
  <c r="M8" i="16"/>
  <c r="M7" i="16"/>
  <c r="M6" i="16"/>
  <c r="M5" i="16"/>
  <c r="Y17" i="16" l="1"/>
  <c r="AB17" i="16" s="1"/>
  <c r="Y20" i="16"/>
  <c r="AB20" i="16" s="1"/>
  <c r="AA16" i="16"/>
  <c r="M12" i="16"/>
  <c r="Y18" i="16"/>
  <c r="AB18" i="16" s="1"/>
  <c r="AB16" i="16"/>
  <c r="Y21" i="16"/>
  <c r="AB21" i="16" s="1"/>
  <c r="Z20" i="16"/>
  <c r="Y19" i="16"/>
  <c r="AB19" i="16" s="1"/>
  <c r="AA21" i="15"/>
  <c r="Z21" i="15"/>
  <c r="Y21" i="15"/>
  <c r="V21" i="15"/>
  <c r="S21" i="15"/>
  <c r="P21" i="15"/>
  <c r="M21" i="15"/>
  <c r="J21" i="15"/>
  <c r="G21" i="15"/>
  <c r="AA20" i="15"/>
  <c r="Z20" i="15"/>
  <c r="Y20" i="15"/>
  <c r="V20" i="15"/>
  <c r="S20" i="15"/>
  <c r="P20" i="15"/>
  <c r="M20" i="15"/>
  <c r="J20" i="15"/>
  <c r="G20" i="15"/>
  <c r="AA19" i="15"/>
  <c r="Z19" i="15"/>
  <c r="Y19" i="15"/>
  <c r="S19" i="15"/>
  <c r="P19" i="15"/>
  <c r="M19" i="15"/>
  <c r="J19" i="15"/>
  <c r="G19" i="15"/>
  <c r="AA18" i="15"/>
  <c r="Z18" i="15"/>
  <c r="Y18" i="15"/>
  <c r="V18" i="15"/>
  <c r="S18" i="15"/>
  <c r="P18" i="15"/>
  <c r="M18" i="15"/>
  <c r="J18" i="15"/>
  <c r="G18" i="15"/>
  <c r="AA17" i="15"/>
  <c r="Z17" i="15"/>
  <c r="Y17" i="15"/>
  <c r="V17" i="15"/>
  <c r="S17" i="15"/>
  <c r="P17" i="15"/>
  <c r="M17" i="15"/>
  <c r="J17" i="15"/>
  <c r="G17" i="15"/>
  <c r="AA16" i="15"/>
  <c r="Z16" i="15"/>
  <c r="Y16" i="15"/>
  <c r="V16" i="15"/>
  <c r="S16" i="15"/>
  <c r="P16" i="15"/>
  <c r="M16" i="15"/>
  <c r="J16" i="15"/>
  <c r="M12" i="15" l="1"/>
  <c r="AB18" i="15"/>
  <c r="AB16" i="15"/>
  <c r="AB20" i="15"/>
  <c r="AB17" i="15"/>
  <c r="AB21" i="15"/>
  <c r="AB19" i="15"/>
  <c r="H139" i="14"/>
  <c r="AF76" i="14"/>
  <c r="AG76" i="14" s="1"/>
  <c r="AH76" i="14" s="1"/>
  <c r="AA76" i="14"/>
  <c r="AB76" i="14" s="1"/>
  <c r="AC76" i="14" s="1"/>
  <c r="X76" i="14"/>
  <c r="R76" i="14"/>
  <c r="S76" i="14" s="1"/>
  <c r="L76" i="14"/>
  <c r="M76" i="14" s="1"/>
  <c r="N76" i="14" s="1"/>
  <c r="G76" i="14"/>
  <c r="AF75" i="14"/>
  <c r="AG75" i="14" s="1"/>
  <c r="AH75" i="14" s="1"/>
  <c r="AA75" i="14"/>
  <c r="AB75" i="14" s="1"/>
  <c r="AC75" i="14" s="1"/>
  <c r="X75" i="14"/>
  <c r="Q75" i="14"/>
  <c r="R75" i="14" s="1"/>
  <c r="S75" i="14" s="1"/>
  <c r="L75" i="14"/>
  <c r="M75" i="14" s="1"/>
  <c r="N75" i="14" s="1"/>
  <c r="G75" i="14"/>
  <c r="AF74" i="14"/>
  <c r="AG74" i="14" s="1"/>
  <c r="AH74" i="14" s="1"/>
  <c r="AA74" i="14"/>
  <c r="AB74" i="14" s="1"/>
  <c r="AC74" i="14" s="1"/>
  <c r="X74" i="14"/>
  <c r="Q74" i="14"/>
  <c r="R74" i="14" s="1"/>
  <c r="S74" i="14" s="1"/>
  <c r="L74" i="14"/>
  <c r="M74" i="14" s="1"/>
  <c r="N74" i="14" s="1"/>
  <c r="G74" i="14"/>
  <c r="AF73" i="14"/>
  <c r="AG73" i="14" s="1"/>
  <c r="AH73" i="14" s="1"/>
  <c r="AA73" i="14"/>
  <c r="AB73" i="14" s="1"/>
  <c r="AC73" i="14" s="1"/>
  <c r="X73" i="14"/>
  <c r="Q73" i="14"/>
  <c r="R73" i="14" s="1"/>
  <c r="S73" i="14" s="1"/>
  <c r="L73" i="14"/>
  <c r="M73" i="14" s="1"/>
  <c r="N73" i="14" s="1"/>
  <c r="G73" i="14"/>
  <c r="AF72" i="14"/>
  <c r="AG72" i="14" s="1"/>
  <c r="AH72" i="14" s="1"/>
  <c r="AA72" i="14"/>
  <c r="AB72" i="14" s="1"/>
  <c r="AC72" i="14" s="1"/>
  <c r="X72" i="14"/>
  <c r="Q72" i="14"/>
  <c r="R72" i="14" s="1"/>
  <c r="S72" i="14" s="1"/>
  <c r="L72" i="14"/>
  <c r="M72" i="14" s="1"/>
  <c r="N72" i="14" s="1"/>
  <c r="G72" i="14"/>
  <c r="AF71" i="14"/>
  <c r="AG71" i="14" s="1"/>
  <c r="AH71" i="14" s="1"/>
  <c r="AA71" i="14"/>
  <c r="AB71" i="14" s="1"/>
  <c r="AC71" i="14" s="1"/>
  <c r="X71" i="14"/>
  <c r="Q71" i="14"/>
  <c r="R71" i="14" s="1"/>
  <c r="S71" i="14" s="1"/>
  <c r="L71" i="14"/>
  <c r="M71" i="14" s="1"/>
  <c r="N71" i="14" s="1"/>
  <c r="G71" i="14"/>
  <c r="AF70" i="14"/>
  <c r="AG70" i="14" s="1"/>
  <c r="AH70" i="14" s="1"/>
  <c r="AA70" i="14"/>
  <c r="AB70" i="14" s="1"/>
  <c r="AC70" i="14" s="1"/>
  <c r="X70" i="14"/>
  <c r="Q70" i="14"/>
  <c r="R70" i="14" s="1"/>
  <c r="S70" i="14" s="1"/>
  <c r="L70" i="14"/>
  <c r="M70" i="14" s="1"/>
  <c r="N70" i="14" s="1"/>
  <c r="G70" i="14"/>
  <c r="AF69" i="14"/>
  <c r="AG69" i="14" s="1"/>
  <c r="AH69" i="14" s="1"/>
  <c r="AA69" i="14"/>
  <c r="AB69" i="14" s="1"/>
  <c r="AC69" i="14" s="1"/>
  <c r="X69" i="14"/>
  <c r="Q69" i="14"/>
  <c r="R69" i="14" s="1"/>
  <c r="S69" i="14" s="1"/>
  <c r="L69" i="14"/>
  <c r="M69" i="14" s="1"/>
  <c r="N69" i="14" s="1"/>
  <c r="G69" i="14"/>
  <c r="AF68" i="14"/>
  <c r="AG68" i="14" s="1"/>
  <c r="AH68" i="14" s="1"/>
  <c r="AA68" i="14"/>
  <c r="AB68" i="14" s="1"/>
  <c r="AC68" i="14" s="1"/>
  <c r="X68" i="14"/>
  <c r="Q68" i="14"/>
  <c r="R68" i="14" s="1"/>
  <c r="S68" i="14" s="1"/>
  <c r="L68" i="14"/>
  <c r="M68" i="14" s="1"/>
  <c r="N68" i="14" s="1"/>
  <c r="G68" i="14"/>
  <c r="AF67" i="14"/>
  <c r="AG67" i="14" s="1"/>
  <c r="AH67" i="14" s="1"/>
  <c r="AA67" i="14"/>
  <c r="AB67" i="14" s="1"/>
  <c r="AC67" i="14" s="1"/>
  <c r="X67" i="14"/>
  <c r="Q67" i="14"/>
  <c r="R67" i="14" s="1"/>
  <c r="S67" i="14" s="1"/>
  <c r="L67" i="14"/>
  <c r="M67" i="14" s="1"/>
  <c r="N67" i="14" s="1"/>
  <c r="G67" i="14"/>
  <c r="AF66" i="14"/>
  <c r="AG66" i="14" s="1"/>
  <c r="AH66" i="14" s="1"/>
  <c r="AA66" i="14"/>
  <c r="AB66" i="14" s="1"/>
  <c r="AC66" i="14" s="1"/>
  <c r="X66" i="14"/>
  <c r="Q66" i="14"/>
  <c r="R66" i="14" s="1"/>
  <c r="S66" i="14" s="1"/>
  <c r="L66" i="14"/>
  <c r="M66" i="14" s="1"/>
  <c r="N66" i="14" s="1"/>
  <c r="G66" i="14"/>
  <c r="AF65" i="14"/>
  <c r="AG65" i="14" s="1"/>
  <c r="AH65" i="14" s="1"/>
  <c r="AA65" i="14"/>
  <c r="AB65" i="14" s="1"/>
  <c r="AC65" i="14" s="1"/>
  <c r="X65" i="14"/>
  <c r="Q65" i="14"/>
  <c r="R65" i="14" s="1"/>
  <c r="S65" i="14" s="1"/>
  <c r="L65" i="14"/>
  <c r="M65" i="14" s="1"/>
  <c r="N65" i="14" s="1"/>
  <c r="G65" i="14"/>
  <c r="AF64" i="14"/>
  <c r="AG64" i="14" s="1"/>
  <c r="AH64" i="14" s="1"/>
  <c r="AA64" i="14"/>
  <c r="AB64" i="14" s="1"/>
  <c r="AC64" i="14" s="1"/>
  <c r="X64" i="14"/>
  <c r="Q64" i="14"/>
  <c r="R64" i="14" s="1"/>
  <c r="S64" i="14" s="1"/>
  <c r="L64" i="14"/>
  <c r="M64" i="14" s="1"/>
  <c r="N64" i="14" s="1"/>
  <c r="G64" i="14"/>
  <c r="AF63" i="14"/>
  <c r="AG63" i="14" s="1"/>
  <c r="AH63" i="14" s="1"/>
  <c r="AA63" i="14"/>
  <c r="AB63" i="14" s="1"/>
  <c r="AC63" i="14" s="1"/>
  <c r="X63" i="14"/>
  <c r="Q63" i="14"/>
  <c r="R63" i="14" s="1"/>
  <c r="S63" i="14" s="1"/>
  <c r="L63" i="14"/>
  <c r="M63" i="14" s="1"/>
  <c r="N63" i="14" s="1"/>
  <c r="G63" i="14"/>
  <c r="AF62" i="14"/>
  <c r="AG62" i="14" s="1"/>
  <c r="AH62" i="14" s="1"/>
  <c r="AA62" i="14"/>
  <c r="AB62" i="14" s="1"/>
  <c r="AC62" i="14" s="1"/>
  <c r="X62" i="14"/>
  <c r="Q62" i="14"/>
  <c r="R62" i="14" s="1"/>
  <c r="S62" i="14" s="1"/>
  <c r="L62" i="14"/>
  <c r="M62" i="14" s="1"/>
  <c r="N62" i="14" s="1"/>
  <c r="G62" i="14"/>
  <c r="AF61" i="14"/>
  <c r="AG61" i="14" s="1"/>
  <c r="AH61" i="14" s="1"/>
  <c r="AA61" i="14"/>
  <c r="AB61" i="14" s="1"/>
  <c r="AC61" i="14" s="1"/>
  <c r="X61" i="14"/>
  <c r="Q61" i="14"/>
  <c r="R61" i="14" s="1"/>
  <c r="S61" i="14" s="1"/>
  <c r="L61" i="14"/>
  <c r="M61" i="14" s="1"/>
  <c r="N61" i="14" s="1"/>
  <c r="G61" i="14"/>
  <c r="AF60" i="14"/>
  <c r="AG60" i="14" s="1"/>
  <c r="AH60" i="14" s="1"/>
  <c r="AA60" i="14"/>
  <c r="AB60" i="14" s="1"/>
  <c r="AC60" i="14" s="1"/>
  <c r="X60" i="14"/>
  <c r="Q60" i="14"/>
  <c r="R60" i="14" s="1"/>
  <c r="S60" i="14" s="1"/>
  <c r="L60" i="14"/>
  <c r="G60" i="14"/>
  <c r="AI61" i="14" l="1"/>
  <c r="AJ61" i="14" s="1"/>
  <c r="AK61" i="14" s="1"/>
  <c r="AI63" i="14"/>
  <c r="AJ63" i="14" s="1"/>
  <c r="AK63" i="14" s="1"/>
  <c r="AI65" i="14"/>
  <c r="AJ65" i="14" s="1"/>
  <c r="AK65" i="14" s="1"/>
  <c r="AI67" i="14"/>
  <c r="AJ67" i="14" s="1"/>
  <c r="AK67" i="14" s="1"/>
  <c r="AI69" i="14"/>
  <c r="AJ69" i="14" s="1"/>
  <c r="AK69" i="14" s="1"/>
  <c r="AI71" i="14"/>
  <c r="AJ71" i="14" s="1"/>
  <c r="AK71" i="14" s="1"/>
  <c r="AI73" i="14"/>
  <c r="AJ73" i="14" s="1"/>
  <c r="AK73" i="14" s="1"/>
  <c r="AI75" i="14"/>
  <c r="AJ75" i="14" s="1"/>
  <c r="AK75" i="14" s="1"/>
  <c r="AI60" i="14"/>
  <c r="AJ60" i="14" s="1"/>
  <c r="AK60" i="14" s="1"/>
  <c r="AI62" i="14"/>
  <c r="AI64" i="14"/>
  <c r="AJ64" i="14" s="1"/>
  <c r="AK64" i="14" s="1"/>
  <c r="AI66" i="14"/>
  <c r="AJ66" i="14" s="1"/>
  <c r="AK66" i="14" s="1"/>
  <c r="AI68" i="14"/>
  <c r="AJ68" i="14" s="1"/>
  <c r="AK68" i="14" s="1"/>
  <c r="AI70" i="14"/>
  <c r="AI72" i="14"/>
  <c r="AJ72" i="14" s="1"/>
  <c r="AK72" i="14" s="1"/>
  <c r="AI74" i="14"/>
  <c r="AJ74" i="14" s="1"/>
  <c r="AI76" i="14"/>
  <c r="AJ76" i="14" s="1"/>
  <c r="AK76" i="14" s="1"/>
  <c r="AJ62" i="14"/>
  <c r="AK62" i="14" s="1"/>
  <c r="AJ70" i="14"/>
  <c r="AK70" i="14" s="1"/>
  <c r="H75" i="14"/>
  <c r="I75" i="14" s="1"/>
  <c r="H76" i="14"/>
  <c r="I76" i="14" s="1"/>
  <c r="H74" i="14"/>
  <c r="I74" i="14" s="1"/>
  <c r="H73" i="14"/>
  <c r="I73" i="14" s="1"/>
  <c r="H72" i="14"/>
  <c r="I72" i="14" s="1"/>
  <c r="H71" i="14"/>
  <c r="I71" i="14" s="1"/>
  <c r="H70" i="14"/>
  <c r="I70" i="14" s="1"/>
  <c r="H69" i="14"/>
  <c r="I69" i="14" s="1"/>
  <c r="H68" i="14"/>
  <c r="I68" i="14" s="1"/>
  <c r="H67" i="14"/>
  <c r="I67" i="14" s="1"/>
  <c r="H66" i="14"/>
  <c r="I66" i="14" s="1"/>
  <c r="H65" i="14"/>
  <c r="I65" i="14" s="1"/>
  <c r="H64" i="14"/>
  <c r="I64" i="14" s="1"/>
  <c r="H63" i="14"/>
  <c r="I63" i="14" s="1"/>
  <c r="H62" i="14"/>
  <c r="I62" i="14" s="1"/>
  <c r="H61" i="14"/>
  <c r="I61" i="14" s="1"/>
  <c r="H60" i="14"/>
  <c r="I60" i="14" s="1"/>
  <c r="M60" i="14"/>
  <c r="N60" i="14" s="1"/>
</calcChain>
</file>

<file path=xl/sharedStrings.xml><?xml version="1.0" encoding="utf-8"?>
<sst xmlns="http://schemas.openxmlformats.org/spreadsheetml/2006/main" count="967" uniqueCount="346">
  <si>
    <t>VSM INSTITUTE OF TECHNOLOGY, NIPANI - 591 237</t>
  </si>
  <si>
    <t>DEPARTMENT OF COMPUTER SCIENCE AND ENGINEERING</t>
  </si>
  <si>
    <t>DATE:</t>
  </si>
  <si>
    <t>Roll No.</t>
  </si>
  <si>
    <t xml:space="preserve">Name of the student </t>
  </si>
  <si>
    <t xml:space="preserve">USN </t>
  </si>
  <si>
    <t>Total</t>
  </si>
  <si>
    <t>Final Grade</t>
  </si>
  <si>
    <t>I.A</t>
  </si>
  <si>
    <t>EX</t>
  </si>
  <si>
    <t>TL</t>
  </si>
  <si>
    <t>%</t>
  </si>
  <si>
    <t>class</t>
  </si>
  <si>
    <t>F</t>
  </si>
  <si>
    <t>Gender</t>
  </si>
  <si>
    <t>M</t>
  </si>
  <si>
    <t>V. S. M's SRK  INSTITUTE OF TECHNOLOGY , NIPANI</t>
  </si>
  <si>
    <t>Sr. No.</t>
  </si>
  <si>
    <t>Particulars</t>
  </si>
  <si>
    <t>Total Students</t>
  </si>
  <si>
    <t>Students with FCD</t>
  </si>
  <si>
    <t>Students with FC</t>
  </si>
  <si>
    <t>Students with SC</t>
  </si>
  <si>
    <t>Absent Students</t>
  </si>
  <si>
    <t xml:space="preserve">Failed Students </t>
  </si>
  <si>
    <t xml:space="preserve">Passed Students </t>
  </si>
  <si>
    <t>Overall Passing %</t>
  </si>
  <si>
    <t>INDIVIDUAL STAFF REPORT</t>
  </si>
  <si>
    <t>Sr. No</t>
  </si>
  <si>
    <t xml:space="preserve">Subjects </t>
  </si>
  <si>
    <t>Total  "FCD"</t>
  </si>
  <si>
    <t>Total   "FC"</t>
  </si>
  <si>
    <t>Total  "SC"</t>
  </si>
  <si>
    <t xml:space="preserve">Total Absent </t>
  </si>
  <si>
    <t xml:space="preserve">Total Failed </t>
  </si>
  <si>
    <t xml:space="preserve">Total Passed </t>
  </si>
  <si>
    <t>Overall Passing%</t>
  </si>
  <si>
    <t>Staff</t>
  </si>
  <si>
    <t>T</t>
  </si>
  <si>
    <t>RP</t>
  </si>
  <si>
    <t>TOPPERS:</t>
  </si>
  <si>
    <t>1) FIRST RANK: Miss. NITHYASHREE P.JAIN (94.78%)</t>
  </si>
  <si>
    <t>SP</t>
  </si>
  <si>
    <t>PP</t>
  </si>
  <si>
    <t>HOD</t>
  </si>
  <si>
    <t>DEAN ACADEMIC</t>
  </si>
  <si>
    <t>PRINCIPAL</t>
  </si>
  <si>
    <r>
      <t xml:space="preserve">                                                               UNIVERSITY EXAM RESULT ANALYS                           </t>
    </r>
    <r>
      <rPr>
        <b/>
        <sz val="10"/>
        <color theme="1"/>
        <rFont val="Times New Roman"/>
        <family val="1"/>
      </rPr>
      <t>VSM's SRKIT UERAD Rev.1.0</t>
    </r>
  </si>
  <si>
    <r>
      <t xml:space="preserve">                                                        UNIVERSITY EXAM RESULT ANALYSIS                         </t>
    </r>
    <r>
      <rPr>
        <b/>
        <sz val="10"/>
        <color theme="1"/>
        <rFont val="Times New Roman"/>
        <family val="1"/>
      </rPr>
      <t>VSM's SRKIT UERAD Rev.1.0</t>
    </r>
  </si>
  <si>
    <t>Semester : VII</t>
  </si>
  <si>
    <t>7th sem CSE results 2023-24 BRV</t>
  </si>
  <si>
    <t>ABHILASHA JUGALE</t>
  </si>
  <si>
    <t>ABHISHEK SANKPAL</t>
  </si>
  <si>
    <t>ADINATH RANGARAO PATIL</t>
  </si>
  <si>
    <t>ADITYA ARUN PATIL</t>
  </si>
  <si>
    <t>ADITYA HOSAMANI</t>
  </si>
  <si>
    <t>AISHWARYA R.P</t>
  </si>
  <si>
    <t>AISHWARYA Y HADAGALI</t>
  </si>
  <si>
    <t>AJJAPPA RAYAPPA KHILARE</t>
  </si>
  <si>
    <t>AKSHATA KORE</t>
  </si>
  <si>
    <t>ALOK KONDEBATTU</t>
  </si>
  <si>
    <t>ANIRUDHA MARUTI KAMBLE</t>
  </si>
  <si>
    <t>ANUJA H HACHIBATTI</t>
  </si>
  <si>
    <t>ARPITA BALASAHEB JADHAV</t>
  </si>
  <si>
    <t>ARUNA RAMESH KAMBLE</t>
  </si>
  <si>
    <t>ATHARV MORABALE</t>
  </si>
  <si>
    <t>CHAITALI KHOT</t>
  </si>
  <si>
    <t>DARSHAN BANDAI</t>
  </si>
  <si>
    <t>DHANJAY AWATE</t>
  </si>
  <si>
    <t>HARSHAVARDHAN D BADIGER</t>
  </si>
  <si>
    <t>KAVERI TANAJI HAJARE</t>
  </si>
  <si>
    <t>KAVYA Y HIRAKANNAVAR</t>
  </si>
  <si>
    <t>LAXMI HALLUR</t>
  </si>
  <si>
    <t>MADHAVI POWAR</t>
  </si>
  <si>
    <t>MAHEK FAYAZAHMED MULLA</t>
  </si>
  <si>
    <t>KHANAPURI MAHAMMAD ZAID .A.W</t>
  </si>
  <si>
    <t>NAGARJUN R DESTOT</t>
  </si>
  <si>
    <t>NAMITHA BONE</t>
  </si>
  <si>
    <t>NAMRATA UTTAM CHOUGULE</t>
  </si>
  <si>
    <t>NIRANJAN CHIDANAND JIRAGE</t>
  </si>
  <si>
    <t>NIRJALA SANJAY BUDYALKAR</t>
  </si>
  <si>
    <t>OMKAR GAJANAN BADIGER</t>
  </si>
  <si>
    <t>OMKAR NARASING GURAV</t>
  </si>
  <si>
    <t>POOJA C TAKKALAKI</t>
  </si>
  <si>
    <t>POOJA SHIVANAND KALLOLI</t>
  </si>
  <si>
    <t>POOJA SUNIL DAVARE</t>
  </si>
  <si>
    <t>PRAGATI KALAGONDA GURAV</t>
  </si>
  <si>
    <t>PRAGATI PRAKASH KAMATE</t>
  </si>
  <si>
    <t>PRAJWALKUMAR SAVADATTI</t>
  </si>
  <si>
    <t>PRAMOD.T.H</t>
  </si>
  <si>
    <t>PRANIKET JOMA</t>
  </si>
  <si>
    <t>PRAYUKTA KEMALAPURE</t>
  </si>
  <si>
    <t>PREETI S SHEBANNAVAR</t>
  </si>
  <si>
    <t>PRITHVIRAJ R BELLARI</t>
  </si>
  <si>
    <t>PRIYANKA B MUDALAGI</t>
  </si>
  <si>
    <t>PURVA KADAM</t>
  </si>
  <si>
    <t>RACHANA V KHAPALI</t>
  </si>
  <si>
    <t>RADHIKA HIREKODI</t>
  </si>
  <si>
    <t>RAJAT JANAWADE</t>
  </si>
  <si>
    <t>RAJESH BASAPPA HIPPALAKAR</t>
  </si>
  <si>
    <t>RAKSHITA MECHANNAVAR</t>
  </si>
  <si>
    <t>RIYA RAJU SUTAR</t>
  </si>
  <si>
    <t>ROHINI VINAYAK RANMALE</t>
  </si>
  <si>
    <t>RUTUJA RAMESH TOPE</t>
  </si>
  <si>
    <t>SAHANA SANAGOUDAPPA PATIL</t>
  </si>
  <si>
    <t>SAHIL YASIN JAKATE</t>
  </si>
  <si>
    <t>SAMIKSHA SHIVANAND KHANE</t>
  </si>
  <si>
    <t>SANDHYA V RAJAPUT</t>
  </si>
  <si>
    <t>SANJANA AINAPUR</t>
  </si>
  <si>
    <t>SANTI AKSHAYKUMAR</t>
  </si>
  <si>
    <t>SHAHIN MODIN MULLA</t>
  </si>
  <si>
    <t>SHIVANI MALABADE</t>
  </si>
  <si>
    <t>SHIVANI BAJARANG SANNAKKI</t>
  </si>
  <si>
    <t>SHIVANI BALAGOUD MUDIGOUD</t>
  </si>
  <si>
    <t>SHIVARAJ PATIL</t>
  </si>
  <si>
    <t>SHREYA JITENDRA MALI</t>
  </si>
  <si>
    <t>SHRINIVAS NAIK</t>
  </si>
  <si>
    <t>SHRISHAIL VHANNAPPA MHETRI</t>
  </si>
  <si>
    <t>SHRIVARDHAN PATIL</t>
  </si>
  <si>
    <t>SHRUTI KRISHNAPPA KUMBAR</t>
  </si>
  <si>
    <t>SHRUTIKA HEMANT SHINDE</t>
  </si>
  <si>
    <t>SIDDESH MALI</t>
  </si>
  <si>
    <t>SNEHA BASAVARAJ HOOLI</t>
  </si>
  <si>
    <t>SNEHA JAGAN JADHAV</t>
  </si>
  <si>
    <t>SNEHAL SANJAY HANABAR</t>
  </si>
  <si>
    <t>SOURABH PEDNEKAR</t>
  </si>
  <si>
    <t>SRUSHTI MALAGOUDA KAGALE</t>
  </si>
  <si>
    <t>SRUSHTI SUKANT SHETTI</t>
  </si>
  <si>
    <t>SUCHITRA PARAMAGOND</t>
  </si>
  <si>
    <t>SUMIT MALLAPPA MADHALE</t>
  </si>
  <si>
    <t>SURAJ RAMESH YADURE</t>
  </si>
  <si>
    <t>SUYOG SHEKKE</t>
  </si>
  <si>
    <t>SWAPNIL JAYAPAL NAVALE</t>
  </si>
  <si>
    <t>TAYYABA ZAKIR SAYYAD</t>
  </si>
  <si>
    <t>TRIVENI ANURE</t>
  </si>
  <si>
    <t>TULASI TANAJI RANAMALE</t>
  </si>
  <si>
    <t>VAISHNAVI PANCHAM</t>
  </si>
  <si>
    <t>VAISHNAVI DODDAMANI</t>
  </si>
  <si>
    <t>VINAY PRABHURAJ CHOUGALE</t>
  </si>
  <si>
    <t>VINAYAK KAKASAHEB KESARKAR</t>
  </si>
  <si>
    <t>VIVEK AWATE</t>
  </si>
  <si>
    <t>VRUSHALI KHOT</t>
  </si>
  <si>
    <t>ADARSH MUCHANDI</t>
  </si>
  <si>
    <t>NISARGAHASURE</t>
  </si>
  <si>
    <t>NITIN DESAI</t>
  </si>
  <si>
    <t>POOJA DIVATE</t>
  </si>
  <si>
    <t>SHIVAM KHOT</t>
  </si>
  <si>
    <t>SHRINIVAS ARISHINKAR</t>
  </si>
  <si>
    <t>YUVARAJ GHATEKARI</t>
  </si>
  <si>
    <t>2VS22CS001</t>
  </si>
  <si>
    <t>2VS22CS002</t>
  </si>
  <si>
    <t>2VS22CS003</t>
  </si>
  <si>
    <t>2VS22CS004</t>
  </si>
  <si>
    <t>2VS22CS005</t>
  </si>
  <si>
    <t>2VS22CS006</t>
  </si>
  <si>
    <t>2VS22CS007</t>
  </si>
  <si>
    <t>2VS22CS008</t>
  </si>
  <si>
    <t>2VS22CS009</t>
  </si>
  <si>
    <t>2VS22CS010</t>
  </si>
  <si>
    <t>2VS22CS011</t>
  </si>
  <si>
    <t>2VS22CS012</t>
  </si>
  <si>
    <t>2VS22CS013</t>
  </si>
  <si>
    <t>2VS22CS014</t>
  </si>
  <si>
    <t>2VS22CS015</t>
  </si>
  <si>
    <t>2VS22CS016</t>
  </si>
  <si>
    <t>2VS22CS017</t>
  </si>
  <si>
    <t>2VS22CS018</t>
  </si>
  <si>
    <t>2VS22CS019</t>
  </si>
  <si>
    <t>2VS22CS020</t>
  </si>
  <si>
    <t>2VS22CS021</t>
  </si>
  <si>
    <t>2VS22CS022</t>
  </si>
  <si>
    <t>2VS22CS023</t>
  </si>
  <si>
    <t>2VS22CS024</t>
  </si>
  <si>
    <t>2VS22CS025</t>
  </si>
  <si>
    <t>2VS22CS026</t>
  </si>
  <si>
    <t>2VS22CS027</t>
  </si>
  <si>
    <t>2VS22CS028</t>
  </si>
  <si>
    <t>2VS22CS029</t>
  </si>
  <si>
    <t>2VS22CS030</t>
  </si>
  <si>
    <t>2VS22CS031</t>
  </si>
  <si>
    <t>2VS22CS032</t>
  </si>
  <si>
    <t>2VS22CS033</t>
  </si>
  <si>
    <t>2VS22CS034</t>
  </si>
  <si>
    <t>2VS22CS035</t>
  </si>
  <si>
    <t>2VS22CS036</t>
  </si>
  <si>
    <t>2VS22CS037</t>
  </si>
  <si>
    <t>2VS22CS038</t>
  </si>
  <si>
    <t>2VS22CS039</t>
  </si>
  <si>
    <t>2VS22CS041</t>
  </si>
  <si>
    <t>2VS22CS043</t>
  </si>
  <si>
    <t>2VS22CS044</t>
  </si>
  <si>
    <t>2VS22CS045</t>
  </si>
  <si>
    <t>2VS22CS046</t>
  </si>
  <si>
    <t>2VS22CS047</t>
  </si>
  <si>
    <t>2VS22CS048</t>
  </si>
  <si>
    <t>2VS22CS049</t>
  </si>
  <si>
    <t>2VS22CS050</t>
  </si>
  <si>
    <t>2VS22CS051</t>
  </si>
  <si>
    <t>2VS22CS052</t>
  </si>
  <si>
    <t>2VS22CS053</t>
  </si>
  <si>
    <t>2VS22CS054</t>
  </si>
  <si>
    <t>2VS22CS055</t>
  </si>
  <si>
    <t>2VS22CS056</t>
  </si>
  <si>
    <t>2VS22CS057</t>
  </si>
  <si>
    <t>2VS22CS058</t>
  </si>
  <si>
    <t>2VS22CS060</t>
  </si>
  <si>
    <t>2VS22CS061</t>
  </si>
  <si>
    <t>2VS22CS062</t>
  </si>
  <si>
    <t>2VS22CS064</t>
  </si>
  <si>
    <t>2VS22CS065</t>
  </si>
  <si>
    <t>2VS22CS066</t>
  </si>
  <si>
    <t>2VS22CS067</t>
  </si>
  <si>
    <t>2VS22CS068</t>
  </si>
  <si>
    <t>2VS22CS069</t>
  </si>
  <si>
    <t>2VS22CS070</t>
  </si>
  <si>
    <t>2VS22CS071</t>
  </si>
  <si>
    <t>2VS22CS072</t>
  </si>
  <si>
    <t>2VS22CS073</t>
  </si>
  <si>
    <t>2VS22CS074</t>
  </si>
  <si>
    <t>2VS22CS075</t>
  </si>
  <si>
    <t>2VS22CS076</t>
  </si>
  <si>
    <t>2VS22CS077</t>
  </si>
  <si>
    <t>2VS22CS078</t>
  </si>
  <si>
    <t>2VS22CS079</t>
  </si>
  <si>
    <t>2VS22CS080</t>
  </si>
  <si>
    <t>2VS22CS081</t>
  </si>
  <si>
    <t>2VS22CS082</t>
  </si>
  <si>
    <t>2VS22CS083</t>
  </si>
  <si>
    <t>2VS22CS084</t>
  </si>
  <si>
    <t>2VS22CS085</t>
  </si>
  <si>
    <t>2VS22CS086</t>
  </si>
  <si>
    <t>2VS22CS087</t>
  </si>
  <si>
    <t>2VS22CS088</t>
  </si>
  <si>
    <t>2VS22CS089</t>
  </si>
  <si>
    <t>2VS22CS090</t>
  </si>
  <si>
    <t>2VS22CS091</t>
  </si>
  <si>
    <t>2VS22CS092</t>
  </si>
  <si>
    <t>2VS22CS093</t>
  </si>
  <si>
    <t>2VS22CS094</t>
  </si>
  <si>
    <t>2VS22CS095</t>
  </si>
  <si>
    <t>2VS23CS400</t>
  </si>
  <si>
    <t>2VS23CS401</t>
  </si>
  <si>
    <t>2VS23CS402</t>
  </si>
  <si>
    <t>2VS23CS403</t>
  </si>
  <si>
    <t>2VS23CS404</t>
  </si>
  <si>
    <t>2VS23CS405</t>
  </si>
  <si>
    <t>2VS23CS406</t>
  </si>
  <si>
    <t>BCS701</t>
  </si>
  <si>
    <t>BCS702</t>
  </si>
  <si>
    <t>ADITYA PATIL</t>
  </si>
  <si>
    <t>ANJALI GUDDAD</t>
  </si>
  <si>
    <t>ANURADHA C KUMBHAR</t>
  </si>
  <si>
    <t>APURVA VINOD SHEDAGE</t>
  </si>
  <si>
    <t>ARIHANT CHOUGALA</t>
  </si>
  <si>
    <t>ARMAN SHAKIL ATTAR</t>
  </si>
  <si>
    <t>DADASAO SUBHAS KHOT</t>
  </si>
  <si>
    <t>DESHMANE KOUSHIK UDAY</t>
  </si>
  <si>
    <t>HARSH BONGALE</t>
  </si>
  <si>
    <t>KAMRAN IQBAL TAMBOLI</t>
  </si>
  <si>
    <t>KSHITIJ KULKARNI</t>
  </si>
  <si>
    <t>MULLA AMAN RAJU</t>
  </si>
  <si>
    <t>NEHA SUNIL MAGADUM</t>
  </si>
  <si>
    <t>NIKHIL GAJANAN HULAKUND</t>
  </si>
  <si>
    <t>NIKHIL BAGADE</t>
  </si>
  <si>
    <t>PATIL NILAMBARI NARAYAN</t>
  </si>
  <si>
    <t>PAYAL VINOD SHINDE</t>
  </si>
  <si>
    <t>PRATIKA UDAY GHATAGE</t>
  </si>
  <si>
    <t>RASIKA R SADAVARTE</t>
  </si>
  <si>
    <t>SALONI SANTOSH KUNNURE</t>
  </si>
  <si>
    <t>SAONGAOKAR SHRUTI</t>
  </si>
  <si>
    <t>SANKET MUSAI</t>
  </si>
  <si>
    <t>SHAMBHUNATH B MODIKAR</t>
  </si>
  <si>
    <t>SHEJAL RAJU CHINCHANE</t>
  </si>
  <si>
    <t>SHREYA BHOSALE</t>
  </si>
  <si>
    <t>SHREYA SURESH MAGADUM</t>
  </si>
  <si>
    <t>SHRUSHTI ANIL GAYAKWAD</t>
  </si>
  <si>
    <t>SHWETA SACHIN MOHITE</t>
  </si>
  <si>
    <t>YASH ARUN SHINDE</t>
  </si>
  <si>
    <t>AJAY GHOLAP</t>
  </si>
  <si>
    <t>ALFIYA MULLA</t>
  </si>
  <si>
    <t>ANIKET KOLAKI</t>
  </si>
  <si>
    <t>JEEVANRAO GHATAGE</t>
  </si>
  <si>
    <t>2VS22CI001</t>
  </si>
  <si>
    <t>2VS22CI002</t>
  </si>
  <si>
    <t>2VS22CI003</t>
  </si>
  <si>
    <t>2VS22CI004</t>
  </si>
  <si>
    <t>2VS22CI005</t>
  </si>
  <si>
    <t>2VS22CI006</t>
  </si>
  <si>
    <t>2VS22CI007</t>
  </si>
  <si>
    <t>2VS22CI008</t>
  </si>
  <si>
    <t>2VS22CI009</t>
  </si>
  <si>
    <t>2VS22CI010</t>
  </si>
  <si>
    <t>2VS22CI011</t>
  </si>
  <si>
    <t>2VS22CI012</t>
  </si>
  <si>
    <t>2VS22CI013</t>
  </si>
  <si>
    <t>2VS22CI014</t>
  </si>
  <si>
    <t>2VS22CI015</t>
  </si>
  <si>
    <t>2VS22CI016</t>
  </si>
  <si>
    <t>2VS22CI017</t>
  </si>
  <si>
    <t>2VS22CI018</t>
  </si>
  <si>
    <t>2VS22CI019</t>
  </si>
  <si>
    <t>2VS22CI020</t>
  </si>
  <si>
    <t>2VS22CI022</t>
  </si>
  <si>
    <t>2VS22CI023</t>
  </si>
  <si>
    <t>2VS22CI024</t>
  </si>
  <si>
    <t>2VS22CI025</t>
  </si>
  <si>
    <t>2VS22CI026</t>
  </si>
  <si>
    <t>2VS22CI027</t>
  </si>
  <si>
    <t>2VS22CI028</t>
  </si>
  <si>
    <t>2VS22CI029</t>
  </si>
  <si>
    <t>2VS22CI030</t>
  </si>
  <si>
    <t>2VS23CI400</t>
  </si>
  <si>
    <t>2VS23CI401</t>
  </si>
  <si>
    <t>2VS23CI402</t>
  </si>
  <si>
    <t>2VS23CI403</t>
  </si>
  <si>
    <t>7th sem AIML results 2023-24 (BRV)</t>
  </si>
  <si>
    <t>BCS703</t>
  </si>
  <si>
    <t>BCS786</t>
  </si>
  <si>
    <t>BME755A</t>
  </si>
  <si>
    <t>BCS714D</t>
  </si>
  <si>
    <t>BAI702</t>
  </si>
  <si>
    <t>BCI786</t>
  </si>
  <si>
    <t>FAIL</t>
  </si>
  <si>
    <t>VB</t>
  </si>
  <si>
    <t>SG</t>
  </si>
  <si>
    <t>AG</t>
  </si>
  <si>
    <t>AY</t>
  </si>
  <si>
    <t>1) FIRST RANK: Mr. ABHISHEK SANKPAL (88.57%)</t>
  </si>
  <si>
    <t>2) SECOND RANK: Miss.PRIYANKA B MUDALAGI (87.43%)</t>
  </si>
  <si>
    <t>3) THIRD RANK: Miss. SANJANA AINAPUR (86.86%)</t>
  </si>
  <si>
    <t xml:space="preserve">                                                           B.E. SEVEN  SEMESTER HELD IN DEC/JAN 2025-2026                      CSE Department   -DIV A                                   </t>
  </si>
  <si>
    <t>MK</t>
  </si>
  <si>
    <t xml:space="preserve">                                                           B.E. SEVEN  SEMESTER HELD IN DEC/JAN 2025-2026                      CSE Department  -DIV B                                    </t>
  </si>
  <si>
    <t>1) FIRST RANK: Miss. SHRUTIKA HEMANT SHINDEL (85.57%)</t>
  </si>
  <si>
    <t>2) SECOND RANK: Miss.SRUSHTI SUKANT SHETTI (85.43%)</t>
  </si>
  <si>
    <t>3) THIRD RANK: Mr. SUYOG SHEKKE(84.43%)</t>
  </si>
  <si>
    <t>1) FIRST RANK: Mr. SHAMBHUNATH B MODIKAR (92.29%)</t>
  </si>
  <si>
    <t>2) SECOND RANK: Mr.ARMAN SHAKIL ATTAR (91%)</t>
  </si>
  <si>
    <r>
      <t>3</t>
    </r>
    <r>
      <rPr>
        <b/>
        <sz val="8"/>
        <color theme="1"/>
        <rFont val="Times New Roman"/>
        <family val="1"/>
      </rPr>
      <t>) THIRD RANK: Miss. NEHA SUNIL MAGADUM (90.71%)</t>
    </r>
  </si>
  <si>
    <t xml:space="preserve">                B.E. SEVEN  SEMESTER HELD IN DEC/JAN 2025-2026     CSE(AIML) Department                                 </t>
  </si>
  <si>
    <t>FCD</t>
  </si>
  <si>
    <t xml:space="preserve">                                                           B.E. SEVEN  SEMESTER HELD IN DEC/JAN 2025-2026                      CSE Department   -DIV A &amp; B                                   </t>
  </si>
  <si>
    <t>SG/MK</t>
  </si>
  <si>
    <t>1) FIRST RANK: Miss.PRIYANKA B MUDALAGI (87.43%)</t>
  </si>
  <si>
    <t>2) SECOND RANK: Miss. SANJANA AINAPUR (86.86%)</t>
  </si>
  <si>
    <t>3) THIRD RANK: Mr. ABHISHEK SANKPAL (86.71%)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</si>
</sst>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10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mbria"/>
      <family val="1"/>
      <scheme val="major"/>
    </font>
    <font>
      <sz val="10"/>
      <color rgb="FFFF0000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Arial"/>
      <family val="2"/>
    </font>
    <font>
      <b/>
      <sz val="10"/>
      <name val="Times New Roman"/>
      <family val="1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4" borderId="0" applyNumberFormat="0" applyBorder="0" applyAlignment="0" applyProtection="0"/>
  </cellStyleXfs>
  <cellXfs count="282">
    <xf numFmtId="0" fontId="0" fillId="0" borderId="0" xfId="0"/>
    <xf numFmtId="0" fontId="4" fillId="2" borderId="0" xfId="0" applyFont="1" applyFill="1"/>
    <xf numFmtId="0" fontId="6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14" fontId="4" fillId="2" borderId="0" xfId="0" applyNumberFormat="1" applyFont="1" applyFill="1"/>
    <xf numFmtId="0" fontId="0" fillId="2" borderId="3" xfId="0" applyFill="1" applyBorder="1"/>
    <xf numFmtId="0" fontId="10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0" xfId="0" applyFill="1"/>
    <xf numFmtId="0" fontId="16" fillId="2" borderId="1" xfId="0" applyFont="1" applyFill="1" applyBorder="1" applyAlignment="1">
      <alignment horizontal="center" vertical="center"/>
    </xf>
    <xf numFmtId="0" fontId="4" fillId="3" borderId="0" xfId="0" applyFont="1" applyFill="1"/>
    <xf numFmtId="14" fontId="4" fillId="3" borderId="0" xfId="0" applyNumberFormat="1" applyFont="1" applyFill="1"/>
    <xf numFmtId="0" fontId="0" fillId="3" borderId="0" xfId="0" applyFill="1"/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14" fontId="4" fillId="3" borderId="0" xfId="0" applyNumberFormat="1" applyFont="1" applyFill="1" applyAlignment="1">
      <alignment horizontal="center"/>
    </xf>
    <xf numFmtId="0" fontId="19" fillId="2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1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9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15" fillId="2" borderId="1" xfId="0" applyFont="1" applyFill="1" applyBorder="1"/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21" fillId="0" borderId="0" xfId="0" applyFont="1" applyBorder="1"/>
    <xf numFmtId="0" fontId="21" fillId="0" borderId="0" xfId="0" applyFont="1" applyFill="1" applyBorder="1"/>
    <xf numFmtId="1" fontId="21" fillId="0" borderId="0" xfId="2" applyNumberFormat="1" applyFont="1" applyFill="1" applyBorder="1" applyAlignment="1">
      <alignment horizontal="center" vertical="center"/>
    </xf>
    <xf numFmtId="1" fontId="21" fillId="0" borderId="0" xfId="0" applyNumberFormat="1" applyFont="1" applyFill="1" applyBorder="1" applyAlignment="1">
      <alignment horizontal="center" vertical="center"/>
    </xf>
    <xf numFmtId="1" fontId="22" fillId="0" borderId="0" xfId="0" applyNumberFormat="1" applyFont="1" applyFill="1" applyBorder="1" applyAlignment="1">
      <alignment horizontal="center" vertical="center"/>
    </xf>
    <xf numFmtId="1" fontId="22" fillId="0" borderId="0" xfId="0" applyNumberFormat="1" applyFont="1" applyBorder="1" applyAlignment="1">
      <alignment horizontal="center" vertical="center"/>
    </xf>
    <xf numFmtId="1" fontId="21" fillId="0" borderId="0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0" fillId="0" borderId="0" xfId="0" applyFont="1" applyBorder="1" applyAlignment="1"/>
    <xf numFmtId="0" fontId="21" fillId="0" borderId="0" xfId="0" applyFont="1" applyBorder="1" applyAlignment="1"/>
    <xf numFmtId="0" fontId="21" fillId="0" borderId="9" xfId="0" applyFont="1" applyBorder="1"/>
    <xf numFmtId="0" fontId="21" fillId="0" borderId="10" xfId="0" applyFont="1" applyBorder="1"/>
    <xf numFmtId="0" fontId="23" fillId="0" borderId="0" xfId="0" applyFont="1" applyBorder="1"/>
    <xf numFmtId="0" fontId="22" fillId="0" borderId="0" xfId="0" applyFont="1" applyBorder="1"/>
    <xf numFmtId="0" fontId="22" fillId="0" borderId="10" xfId="0" applyFont="1" applyBorder="1"/>
    <xf numFmtId="0" fontId="21" fillId="0" borderId="9" xfId="0" applyFont="1" applyBorder="1" applyAlignment="1"/>
    <xf numFmtId="0" fontId="22" fillId="0" borderId="9" xfId="0" applyFont="1" applyBorder="1"/>
    <xf numFmtId="0" fontId="0" fillId="0" borderId="9" xfId="0" applyBorder="1"/>
    <xf numFmtId="0" fontId="3" fillId="0" borderId="0" xfId="0" applyFont="1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0" fillId="0" borderId="0" xfId="0" applyFont="1" applyBorder="1"/>
    <xf numFmtId="1" fontId="20" fillId="0" borderId="1" xfId="0" applyNumberFormat="1" applyFont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vertical="center"/>
    </xf>
    <xf numFmtId="0" fontId="20" fillId="2" borderId="14" xfId="0" applyFont="1" applyFill="1" applyBorder="1" applyAlignment="1">
      <alignment vertical="center" wrapText="1"/>
    </xf>
    <xf numFmtId="0" fontId="21" fillId="0" borderId="10" xfId="0" applyFont="1" applyBorder="1" applyAlignment="1"/>
    <xf numFmtId="0" fontId="13" fillId="2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0" fontId="4" fillId="3" borderId="15" xfId="1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left" vertical="center"/>
    </xf>
    <xf numFmtId="0" fontId="19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vertical="top" wrapText="1"/>
    </xf>
    <xf numFmtId="0" fontId="0" fillId="2" borderId="0" xfId="0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1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2" fontId="4" fillId="2" borderId="0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top" wrapText="1"/>
    </xf>
    <xf numFmtId="0" fontId="18" fillId="2" borderId="0" xfId="0" applyFont="1" applyFill="1" applyBorder="1" applyAlignment="1">
      <alignment horizontal="center" vertical="center"/>
    </xf>
    <xf numFmtId="0" fontId="2" fillId="2" borderId="0" xfId="0" applyFont="1" applyFill="1" applyBorder="1"/>
    <xf numFmtId="0" fontId="16" fillId="2" borderId="0" xfId="0" applyFont="1" applyFill="1" applyBorder="1" applyAlignment="1">
      <alignment horizontal="center" vertical="center"/>
    </xf>
    <xf numFmtId="0" fontId="15" fillId="2" borderId="0" xfId="1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6" fillId="2" borderId="4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1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4" fillId="2" borderId="15" xfId="1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2" fontId="4" fillId="2" borderId="1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4" fillId="3" borderId="1" xfId="0" applyFont="1" applyFill="1" applyBorder="1"/>
    <xf numFmtId="0" fontId="25" fillId="0" borderId="1" xfId="0" applyFont="1" applyBorder="1" applyAlignment="1">
      <alignment horizontal="center" vertical="center" wrapText="1"/>
    </xf>
    <xf numFmtId="0" fontId="15" fillId="2" borderId="1" xfId="1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wrapText="1"/>
    </xf>
    <xf numFmtId="0" fontId="19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center"/>
    </xf>
    <xf numFmtId="0" fontId="4" fillId="5" borderId="1" xfId="1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wrapText="1"/>
    </xf>
    <xf numFmtId="0" fontId="19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wrapText="1"/>
    </xf>
    <xf numFmtId="0" fontId="1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6" borderId="1" xfId="1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wrapText="1"/>
    </xf>
    <xf numFmtId="0" fontId="19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4" fillId="7" borderId="1" xfId="1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wrapText="1"/>
    </xf>
    <xf numFmtId="0" fontId="19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wrapText="1"/>
    </xf>
    <xf numFmtId="0" fontId="1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4" fillId="8" borderId="1" xfId="1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left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left" vertical="center" wrapText="1"/>
    </xf>
    <xf numFmtId="0" fontId="4" fillId="2" borderId="15" xfId="0" applyFont="1" applyFill="1" applyBorder="1"/>
    <xf numFmtId="0" fontId="19" fillId="5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wrapText="1"/>
    </xf>
    <xf numFmtId="0" fontId="14" fillId="8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1" fontId="20" fillId="2" borderId="1" xfId="2" applyNumberFormat="1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20" fillId="2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/>
    </xf>
    <xf numFmtId="1" fontId="21" fillId="2" borderId="1" xfId="2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1" fontId="20" fillId="2" borderId="1" xfId="2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1" fontId="20" fillId="2" borderId="7" xfId="2" applyNumberFormat="1" applyFont="1" applyFill="1" applyBorder="1" applyAlignment="1">
      <alignment horizontal="center" vertical="center"/>
    </xf>
    <xf numFmtId="1" fontId="20" fillId="2" borderId="8" xfId="2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6" fillId="2" borderId="4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9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26" fillId="5" borderId="1" xfId="0" applyFont="1" applyFill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0" fontId="30" fillId="7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2" fontId="9" fillId="5" borderId="1" xfId="0" applyNumberFormat="1" applyFont="1" applyFill="1" applyBorder="1" applyAlignment="1">
      <alignment horizontal="center" vertical="center"/>
    </xf>
    <xf numFmtId="2" fontId="9" fillId="7" borderId="1" xfId="0" applyNumberFormat="1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2" fontId="9" fillId="8" borderId="1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29" fillId="2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</cellXfs>
  <cellStyles count="3">
    <cellStyle name="20% - Accent5" xfId="2" builtinId="46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0</xdr:row>
      <xdr:rowOff>47625</xdr:rowOff>
    </xdr:from>
    <xdr:to>
      <xdr:col>6</xdr:col>
      <xdr:colOff>142876</xdr:colOff>
      <xdr:row>1</xdr:row>
      <xdr:rowOff>66675</xdr:rowOff>
    </xdr:to>
    <xdr:pic>
      <xdr:nvPicPr>
        <xdr:cNvPr id="2" name="Picture 1" descr="C:\Users\croma\Documents\Bluetooth Folder\VSMIT New Logo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04875" y="47625"/>
          <a:ext cx="647701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0</xdr:row>
      <xdr:rowOff>47625</xdr:rowOff>
    </xdr:from>
    <xdr:to>
      <xdr:col>6</xdr:col>
      <xdr:colOff>142876</xdr:colOff>
      <xdr:row>1</xdr:row>
      <xdr:rowOff>66675</xdr:rowOff>
    </xdr:to>
    <xdr:pic>
      <xdr:nvPicPr>
        <xdr:cNvPr id="2" name="Picture 1" descr="C:\Users\croma\Documents\Bluetooth Folder\VSMIT New Logo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04875" y="47625"/>
          <a:ext cx="647701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0</xdr:row>
      <xdr:rowOff>47625</xdr:rowOff>
    </xdr:from>
    <xdr:to>
      <xdr:col>6</xdr:col>
      <xdr:colOff>104776</xdr:colOff>
      <xdr:row>2</xdr:row>
      <xdr:rowOff>0</xdr:rowOff>
    </xdr:to>
    <xdr:pic>
      <xdr:nvPicPr>
        <xdr:cNvPr id="2" name="Picture 1" descr="C:\Users\croma\Documents\Bluetooth Folder\VSMIT New Logo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04875" y="47625"/>
          <a:ext cx="647701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219074</xdr:colOff>
      <xdr:row>0</xdr:row>
      <xdr:rowOff>0</xdr:rowOff>
    </xdr:from>
    <xdr:to>
      <xdr:col>8</xdr:col>
      <xdr:colOff>66675</xdr:colOff>
      <xdr:row>2</xdr:row>
      <xdr:rowOff>19050</xdr:rowOff>
    </xdr:to>
    <xdr:pic>
      <xdr:nvPicPr>
        <xdr:cNvPr id="2" name="Picture 1" descr="C:\Users\croma\Documents\Bluetooth Folder\VSMIT New Logo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62074" y="0"/>
          <a:ext cx="647701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topLeftCell="A17" zoomScaleNormal="100" workbookViewId="0">
      <selection activeCell="AD33" sqref="AD33"/>
    </sheetView>
  </sheetViews>
  <sheetFormatPr defaultRowHeight="15" x14ac:dyDescent="0.25"/>
  <cols>
    <col min="1" max="1" width="4.140625" customWidth="1"/>
    <col min="2" max="2" width="4.42578125" customWidth="1"/>
    <col min="3" max="3" width="3.140625" customWidth="1"/>
    <col min="4" max="4" width="1.42578125" customWidth="1"/>
    <col min="5" max="5" width="4.140625" customWidth="1"/>
    <col min="6" max="6" width="3.85546875" customWidth="1"/>
    <col min="7" max="7" width="4.42578125" customWidth="1"/>
    <col min="8" max="8" width="3.85546875" customWidth="1"/>
    <col min="9" max="9" width="4.28515625" customWidth="1"/>
    <col min="10" max="10" width="4.140625" customWidth="1"/>
    <col min="11" max="12" width="4.28515625" customWidth="1"/>
    <col min="13" max="13" width="3.85546875" customWidth="1"/>
    <col min="14" max="14" width="4.28515625" customWidth="1"/>
    <col min="15" max="15" width="3.140625" customWidth="1"/>
    <col min="16" max="16" width="3.85546875" customWidth="1"/>
    <col min="17" max="17" width="3.5703125" customWidth="1"/>
    <col min="18" max="18" width="4" customWidth="1"/>
    <col min="19" max="19" width="3.42578125" customWidth="1"/>
    <col min="20" max="20" width="4.28515625" customWidth="1"/>
    <col min="21" max="21" width="3.85546875" customWidth="1"/>
    <col min="22" max="22" width="3.5703125" customWidth="1"/>
    <col min="23" max="23" width="4.28515625" customWidth="1"/>
    <col min="24" max="24" width="4.140625" customWidth="1"/>
    <col min="25" max="25" width="5" customWidth="1"/>
    <col min="26" max="26" width="4.5703125" customWidth="1"/>
    <col min="27" max="27" width="5.140625" customWidth="1"/>
    <col min="28" max="28" width="5.28515625" customWidth="1"/>
    <col min="29" max="29" width="9.7109375" customWidth="1"/>
  </cols>
  <sheetData>
    <row r="1" spans="1:29" ht="24.75" customHeight="1" x14ac:dyDescent="0.25">
      <c r="A1" s="208" t="s">
        <v>16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10"/>
    </row>
    <row r="2" spans="1:29" ht="21" customHeight="1" x14ac:dyDescent="0.25">
      <c r="A2" s="211" t="s">
        <v>48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3"/>
    </row>
    <row r="3" spans="1:29" ht="16.5" thickBot="1" x14ac:dyDescent="0.3">
      <c r="A3" s="214" t="s">
        <v>330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6"/>
    </row>
    <row r="4" spans="1:29" ht="21" x14ac:dyDescent="0.25">
      <c r="A4" s="62"/>
      <c r="B4" s="81" t="s">
        <v>17</v>
      </c>
      <c r="C4" s="217" t="s">
        <v>18</v>
      </c>
      <c r="D4" s="218"/>
      <c r="E4" s="218"/>
      <c r="F4" s="218"/>
      <c r="G4" s="218"/>
      <c r="H4" s="219"/>
      <c r="I4" s="220" t="s">
        <v>15</v>
      </c>
      <c r="J4" s="221"/>
      <c r="K4" s="220" t="s">
        <v>13</v>
      </c>
      <c r="L4" s="221"/>
      <c r="M4" s="220" t="s">
        <v>6</v>
      </c>
      <c r="N4" s="221"/>
      <c r="O4" s="50"/>
      <c r="P4" s="222"/>
      <c r="Q4" s="222"/>
      <c r="R4" s="222"/>
      <c r="S4" s="222"/>
      <c r="T4" s="222"/>
      <c r="U4" s="222"/>
      <c r="V4" s="222"/>
      <c r="W4" s="222"/>
      <c r="X4" s="222"/>
      <c r="Y4" s="50"/>
      <c r="Z4" s="50"/>
      <c r="AA4" s="50"/>
      <c r="AB4" s="50"/>
      <c r="AC4" s="63"/>
    </row>
    <row r="5" spans="1:29" x14ac:dyDescent="0.25">
      <c r="A5" s="62"/>
      <c r="B5" s="58">
        <v>1</v>
      </c>
      <c r="C5" s="204" t="s">
        <v>19</v>
      </c>
      <c r="D5" s="204"/>
      <c r="E5" s="204"/>
      <c r="F5" s="204"/>
      <c r="G5" s="204"/>
      <c r="H5" s="204"/>
      <c r="I5" s="205">
        <v>27</v>
      </c>
      <c r="J5" s="205"/>
      <c r="K5" s="205">
        <v>39</v>
      </c>
      <c r="L5" s="205"/>
      <c r="M5" s="205">
        <f>(I5+K5)</f>
        <v>66</v>
      </c>
      <c r="N5" s="205"/>
      <c r="O5" s="50"/>
      <c r="P5" s="50"/>
      <c r="Q5" s="50"/>
      <c r="R5" s="50"/>
      <c r="S5" s="51"/>
      <c r="T5" s="51"/>
      <c r="U5" s="52"/>
      <c r="V5" s="52"/>
      <c r="W5" s="53"/>
      <c r="X5" s="51"/>
      <c r="Y5" s="51"/>
      <c r="Z5" s="50"/>
      <c r="AA5" s="50"/>
      <c r="AB5" s="50"/>
      <c r="AC5" s="63"/>
    </row>
    <row r="6" spans="1:29" x14ac:dyDescent="0.25">
      <c r="A6" s="62"/>
      <c r="B6" s="58">
        <v>2</v>
      </c>
      <c r="C6" s="204" t="s">
        <v>20</v>
      </c>
      <c r="D6" s="204"/>
      <c r="E6" s="204"/>
      <c r="F6" s="204"/>
      <c r="G6" s="204"/>
      <c r="H6" s="204"/>
      <c r="I6" s="205">
        <v>24</v>
      </c>
      <c r="J6" s="205"/>
      <c r="K6" s="205">
        <v>39</v>
      </c>
      <c r="L6" s="205"/>
      <c r="M6" s="205">
        <f>(I6+K6)</f>
        <v>63</v>
      </c>
      <c r="N6" s="205"/>
      <c r="O6" s="50"/>
      <c r="P6" s="50"/>
      <c r="Q6" s="50"/>
      <c r="R6" s="50"/>
      <c r="S6" s="51"/>
      <c r="T6" s="51"/>
      <c r="U6" s="52"/>
      <c r="V6" s="52"/>
      <c r="W6" s="53"/>
      <c r="X6" s="51"/>
      <c r="Y6" s="51"/>
      <c r="Z6" s="50"/>
      <c r="AA6" s="50"/>
      <c r="AB6" s="50"/>
      <c r="AC6" s="63"/>
    </row>
    <row r="7" spans="1:29" x14ac:dyDescent="0.25">
      <c r="A7" s="62"/>
      <c r="B7" s="58">
        <v>3</v>
      </c>
      <c r="C7" s="204" t="s">
        <v>21</v>
      </c>
      <c r="D7" s="204"/>
      <c r="E7" s="204"/>
      <c r="F7" s="204"/>
      <c r="G7" s="204"/>
      <c r="H7" s="204"/>
      <c r="I7" s="205">
        <v>0</v>
      </c>
      <c r="J7" s="205"/>
      <c r="K7" s="205">
        <v>0</v>
      </c>
      <c r="L7" s="205"/>
      <c r="M7" s="205">
        <f t="shared" ref="M7:M11" si="0">(I7+K7)</f>
        <v>0</v>
      </c>
      <c r="N7" s="205"/>
      <c r="O7" s="50"/>
      <c r="P7" s="50"/>
      <c r="Q7" s="50"/>
      <c r="R7" s="50"/>
      <c r="S7" s="51"/>
      <c r="T7" s="51"/>
      <c r="U7" s="52"/>
      <c r="V7" s="52"/>
      <c r="W7" s="53"/>
      <c r="X7" s="51"/>
      <c r="Y7" s="51"/>
      <c r="Z7" s="50"/>
      <c r="AA7" s="50"/>
      <c r="AB7" s="50"/>
      <c r="AC7" s="63"/>
    </row>
    <row r="8" spans="1:29" x14ac:dyDescent="0.25">
      <c r="A8" s="62"/>
      <c r="B8" s="58">
        <v>4</v>
      </c>
      <c r="C8" s="204" t="s">
        <v>22</v>
      </c>
      <c r="D8" s="204"/>
      <c r="E8" s="204"/>
      <c r="F8" s="204"/>
      <c r="G8" s="204"/>
      <c r="H8" s="204"/>
      <c r="I8" s="205">
        <v>0</v>
      </c>
      <c r="J8" s="205"/>
      <c r="K8" s="205">
        <v>0</v>
      </c>
      <c r="L8" s="205"/>
      <c r="M8" s="205">
        <f t="shared" si="0"/>
        <v>0</v>
      </c>
      <c r="N8" s="205"/>
      <c r="O8" s="50"/>
      <c r="P8" s="50"/>
      <c r="Q8" s="50"/>
      <c r="R8" s="50"/>
      <c r="S8" s="51"/>
      <c r="T8" s="51"/>
      <c r="U8" s="52"/>
      <c r="V8" s="52"/>
      <c r="W8" s="53"/>
      <c r="X8" s="51"/>
      <c r="Y8" s="51"/>
      <c r="Z8" s="50"/>
      <c r="AA8" s="50"/>
      <c r="AB8" s="50"/>
      <c r="AC8" s="63"/>
    </row>
    <row r="9" spans="1:29" x14ac:dyDescent="0.25">
      <c r="A9" s="62"/>
      <c r="B9" s="58">
        <v>9</v>
      </c>
      <c r="C9" s="204" t="s">
        <v>23</v>
      </c>
      <c r="D9" s="204"/>
      <c r="E9" s="204"/>
      <c r="F9" s="204"/>
      <c r="G9" s="204"/>
      <c r="H9" s="204"/>
      <c r="I9" s="205">
        <v>0</v>
      </c>
      <c r="J9" s="205"/>
      <c r="K9" s="205">
        <v>0</v>
      </c>
      <c r="L9" s="205"/>
      <c r="M9" s="205">
        <f t="shared" si="0"/>
        <v>0</v>
      </c>
      <c r="N9" s="205"/>
      <c r="O9" s="50"/>
      <c r="P9" s="50"/>
      <c r="Q9" s="50"/>
      <c r="R9" s="50"/>
      <c r="S9" s="51"/>
      <c r="T9" s="51"/>
      <c r="U9" s="54"/>
      <c r="V9" s="54"/>
      <c r="W9" s="53"/>
      <c r="X9" s="51"/>
      <c r="Y9" s="51"/>
      <c r="Z9" s="50"/>
      <c r="AA9" s="50"/>
      <c r="AB9" s="50"/>
      <c r="AC9" s="63"/>
    </row>
    <row r="10" spans="1:29" x14ac:dyDescent="0.25">
      <c r="A10" s="62"/>
      <c r="B10" s="58">
        <v>10</v>
      </c>
      <c r="C10" s="204" t="s">
        <v>24</v>
      </c>
      <c r="D10" s="204"/>
      <c r="E10" s="204"/>
      <c r="F10" s="204"/>
      <c r="G10" s="204"/>
      <c r="H10" s="204"/>
      <c r="I10" s="205">
        <v>3</v>
      </c>
      <c r="J10" s="205"/>
      <c r="K10" s="205">
        <v>0</v>
      </c>
      <c r="L10" s="205"/>
      <c r="M10" s="205">
        <f t="shared" si="0"/>
        <v>3</v>
      </c>
      <c r="N10" s="205"/>
      <c r="O10" s="50"/>
      <c r="P10" s="50"/>
      <c r="Q10" s="50"/>
      <c r="R10" s="50"/>
      <c r="S10" s="50"/>
      <c r="T10" s="50"/>
      <c r="U10" s="55"/>
      <c r="V10" s="55"/>
      <c r="W10" s="56"/>
      <c r="X10" s="50"/>
      <c r="Y10" s="50"/>
      <c r="Z10" s="50"/>
      <c r="AA10" s="50"/>
      <c r="AB10" s="50"/>
      <c r="AC10" s="63"/>
    </row>
    <row r="11" spans="1:29" x14ac:dyDescent="0.25">
      <c r="A11" s="62"/>
      <c r="B11" s="58">
        <v>12</v>
      </c>
      <c r="C11" s="204" t="s">
        <v>25</v>
      </c>
      <c r="D11" s="204"/>
      <c r="E11" s="204"/>
      <c r="F11" s="204"/>
      <c r="G11" s="204"/>
      <c r="H11" s="204"/>
      <c r="I11" s="205">
        <v>24</v>
      </c>
      <c r="J11" s="205"/>
      <c r="K11" s="205">
        <v>39</v>
      </c>
      <c r="L11" s="205"/>
      <c r="M11" s="205">
        <f t="shared" si="0"/>
        <v>63</v>
      </c>
      <c r="N11" s="205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63"/>
    </row>
    <row r="12" spans="1:29" x14ac:dyDescent="0.25">
      <c r="A12" s="62"/>
      <c r="B12" s="58">
        <v>13</v>
      </c>
      <c r="C12" s="206" t="s">
        <v>26</v>
      </c>
      <c r="D12" s="206"/>
      <c r="E12" s="206"/>
      <c r="F12" s="206"/>
      <c r="G12" s="206"/>
      <c r="H12" s="206"/>
      <c r="I12" s="205">
        <f>(I11/I5*100)</f>
        <v>88.888888888888886</v>
      </c>
      <c r="J12" s="205"/>
      <c r="K12" s="205">
        <f>(K11/K5*100)</f>
        <v>100</v>
      </c>
      <c r="L12" s="205"/>
      <c r="M12" s="207">
        <f>(M11/M5)*100</f>
        <v>95.454545454545453</v>
      </c>
      <c r="N12" s="207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63"/>
    </row>
    <row r="13" spans="1:29" x14ac:dyDescent="0.25">
      <c r="A13" s="200" t="s">
        <v>27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2"/>
    </row>
    <row r="14" spans="1:29" x14ac:dyDescent="0.25">
      <c r="A14" s="203" t="s">
        <v>28</v>
      </c>
      <c r="B14" s="199" t="s">
        <v>29</v>
      </c>
      <c r="C14" s="199"/>
      <c r="D14" s="199"/>
      <c r="E14" s="199" t="s">
        <v>19</v>
      </c>
      <c r="F14" s="199"/>
      <c r="G14" s="199"/>
      <c r="H14" s="199" t="s">
        <v>30</v>
      </c>
      <c r="I14" s="199"/>
      <c r="J14" s="199"/>
      <c r="K14" s="199" t="s">
        <v>31</v>
      </c>
      <c r="L14" s="199"/>
      <c r="M14" s="199"/>
      <c r="N14" s="199" t="s">
        <v>32</v>
      </c>
      <c r="O14" s="199"/>
      <c r="P14" s="199"/>
      <c r="Q14" s="199" t="s">
        <v>33</v>
      </c>
      <c r="R14" s="199"/>
      <c r="S14" s="199"/>
      <c r="T14" s="199" t="s">
        <v>34</v>
      </c>
      <c r="U14" s="199"/>
      <c r="V14" s="199"/>
      <c r="W14" s="199" t="s">
        <v>35</v>
      </c>
      <c r="X14" s="199"/>
      <c r="Y14" s="199"/>
      <c r="Z14" s="199" t="s">
        <v>36</v>
      </c>
      <c r="AA14" s="199"/>
      <c r="AB14" s="199"/>
      <c r="AC14" s="199" t="s">
        <v>37</v>
      </c>
    </row>
    <row r="15" spans="1:29" x14ac:dyDescent="0.25">
      <c r="A15" s="203"/>
      <c r="B15" s="199"/>
      <c r="C15" s="199"/>
      <c r="D15" s="199"/>
      <c r="E15" s="57" t="s">
        <v>15</v>
      </c>
      <c r="F15" s="57" t="s">
        <v>13</v>
      </c>
      <c r="G15" s="57" t="s">
        <v>38</v>
      </c>
      <c r="H15" s="57" t="s">
        <v>15</v>
      </c>
      <c r="I15" s="57" t="s">
        <v>13</v>
      </c>
      <c r="J15" s="57" t="s">
        <v>38</v>
      </c>
      <c r="K15" s="57" t="s">
        <v>15</v>
      </c>
      <c r="L15" s="57" t="s">
        <v>13</v>
      </c>
      <c r="M15" s="57" t="s">
        <v>38</v>
      </c>
      <c r="N15" s="57" t="s">
        <v>15</v>
      </c>
      <c r="O15" s="57" t="s">
        <v>13</v>
      </c>
      <c r="P15" s="57" t="s">
        <v>38</v>
      </c>
      <c r="Q15" s="57" t="s">
        <v>15</v>
      </c>
      <c r="R15" s="57" t="s">
        <v>13</v>
      </c>
      <c r="S15" s="57" t="s">
        <v>38</v>
      </c>
      <c r="T15" s="57" t="s">
        <v>15</v>
      </c>
      <c r="U15" s="57" t="s">
        <v>13</v>
      </c>
      <c r="V15" s="57" t="s">
        <v>38</v>
      </c>
      <c r="W15" s="57" t="s">
        <v>15</v>
      </c>
      <c r="X15" s="57" t="s">
        <v>13</v>
      </c>
      <c r="Y15" s="57" t="s">
        <v>38</v>
      </c>
      <c r="Z15" s="57" t="s">
        <v>15</v>
      </c>
      <c r="AA15" s="57" t="s">
        <v>13</v>
      </c>
      <c r="AB15" s="57" t="s">
        <v>38</v>
      </c>
      <c r="AC15" s="199"/>
    </row>
    <row r="16" spans="1:29" x14ac:dyDescent="0.25">
      <c r="A16" s="58">
        <v>1</v>
      </c>
      <c r="B16" s="195" t="s">
        <v>247</v>
      </c>
      <c r="C16" s="195"/>
      <c r="D16" s="195"/>
      <c r="E16" s="58">
        <v>27</v>
      </c>
      <c r="F16" s="58">
        <v>39</v>
      </c>
      <c r="G16" s="58">
        <f>SUM(E16+F16)</f>
        <v>66</v>
      </c>
      <c r="H16" s="58">
        <v>14</v>
      </c>
      <c r="I16" s="58">
        <v>31</v>
      </c>
      <c r="J16" s="58">
        <f>SUM(H16+I16)</f>
        <v>45</v>
      </c>
      <c r="K16" s="58">
        <v>12</v>
      </c>
      <c r="L16" s="58">
        <v>8</v>
      </c>
      <c r="M16" s="58">
        <f>SUM(K16+L16)</f>
        <v>20</v>
      </c>
      <c r="N16" s="58">
        <v>0</v>
      </c>
      <c r="O16" s="58">
        <v>0</v>
      </c>
      <c r="P16" s="58">
        <f>SUM(N16+O16)</f>
        <v>0</v>
      </c>
      <c r="Q16" s="58">
        <v>0</v>
      </c>
      <c r="R16" s="58">
        <v>0</v>
      </c>
      <c r="S16" s="58">
        <f>SUM(Q16+R16)</f>
        <v>0</v>
      </c>
      <c r="T16" s="58">
        <v>1</v>
      </c>
      <c r="U16" s="58">
        <v>0</v>
      </c>
      <c r="V16" s="58">
        <f>SUM(T16+U16)</f>
        <v>1</v>
      </c>
      <c r="W16" s="58">
        <f t="shared" ref="W16:X18" si="1">SUM(H16,K16,N16,Q16)</f>
        <v>26</v>
      </c>
      <c r="X16" s="58">
        <f t="shared" si="1"/>
        <v>39</v>
      </c>
      <c r="Y16" s="58">
        <f>SUM(W16+X16)</f>
        <v>65</v>
      </c>
      <c r="Z16" s="77">
        <f>(W16*100/E16)</f>
        <v>96.296296296296291</v>
      </c>
      <c r="AA16" s="77">
        <f>(X16*100)/F16</f>
        <v>100</v>
      </c>
      <c r="AB16" s="77">
        <f>Y16*100/G16</f>
        <v>98.484848484848484</v>
      </c>
      <c r="AC16" s="78" t="s">
        <v>323</v>
      </c>
    </row>
    <row r="17" spans="1:29" x14ac:dyDescent="0.25">
      <c r="A17" s="59">
        <v>2</v>
      </c>
      <c r="B17" s="195" t="s">
        <v>248</v>
      </c>
      <c r="C17" s="195"/>
      <c r="D17" s="195"/>
      <c r="E17" s="58">
        <v>27</v>
      </c>
      <c r="F17" s="58">
        <v>39</v>
      </c>
      <c r="G17" s="58">
        <f t="shared" ref="G17:G21" si="2">SUM(E17+F17)</f>
        <v>66</v>
      </c>
      <c r="H17" s="59">
        <v>23</v>
      </c>
      <c r="I17" s="59">
        <v>37</v>
      </c>
      <c r="J17" s="58">
        <f t="shared" ref="J17:J21" si="3">SUM(H17+I17)</f>
        <v>60</v>
      </c>
      <c r="K17" s="59">
        <v>3</v>
      </c>
      <c r="L17" s="59">
        <v>2</v>
      </c>
      <c r="M17" s="58">
        <f t="shared" ref="M17:M21" si="4">SUM(K17+L17)</f>
        <v>5</v>
      </c>
      <c r="N17" s="59">
        <v>0</v>
      </c>
      <c r="O17" s="59">
        <v>0</v>
      </c>
      <c r="P17" s="58">
        <f t="shared" ref="P17:P21" si="5">SUM(N17+O17)</f>
        <v>0</v>
      </c>
      <c r="Q17" s="58">
        <v>0</v>
      </c>
      <c r="R17" s="59">
        <v>0</v>
      </c>
      <c r="S17" s="58">
        <f t="shared" ref="S17:S21" si="6">SUM(Q17+R17)</f>
        <v>0</v>
      </c>
      <c r="T17" s="59">
        <v>1</v>
      </c>
      <c r="U17" s="59">
        <v>0</v>
      </c>
      <c r="V17" s="58">
        <f t="shared" ref="V17:V21" si="7">SUM(T17+U17)</f>
        <v>1</v>
      </c>
      <c r="W17" s="58">
        <f t="shared" si="1"/>
        <v>26</v>
      </c>
      <c r="X17" s="58">
        <f t="shared" si="1"/>
        <v>39</v>
      </c>
      <c r="Y17" s="58">
        <f t="shared" ref="Y17:Y21" si="8">SUM(W17+X17)</f>
        <v>65</v>
      </c>
      <c r="Z17" s="77">
        <f t="shared" ref="Z17:Z21" si="9">(W17*100/E17)</f>
        <v>96.296296296296291</v>
      </c>
      <c r="AA17" s="77">
        <f t="shared" ref="AA17:AA21" si="10">(X17*100)/F17</f>
        <v>100</v>
      </c>
      <c r="AB17" s="77">
        <f t="shared" ref="AB17:AB21" si="11">Y17*100/G17</f>
        <v>98.484848484848484</v>
      </c>
      <c r="AC17" s="79" t="s">
        <v>324</v>
      </c>
    </row>
    <row r="18" spans="1:29" x14ac:dyDescent="0.25">
      <c r="A18" s="59">
        <v>3</v>
      </c>
      <c r="B18" s="195" t="s">
        <v>316</v>
      </c>
      <c r="C18" s="195"/>
      <c r="D18" s="195"/>
      <c r="E18" s="58">
        <v>27</v>
      </c>
      <c r="F18" s="58">
        <v>39</v>
      </c>
      <c r="G18" s="58">
        <f t="shared" si="2"/>
        <v>66</v>
      </c>
      <c r="H18" s="59">
        <v>16</v>
      </c>
      <c r="I18" s="59">
        <v>26</v>
      </c>
      <c r="J18" s="58">
        <f t="shared" si="3"/>
        <v>42</v>
      </c>
      <c r="K18" s="59">
        <v>6</v>
      </c>
      <c r="L18" s="59">
        <v>12</v>
      </c>
      <c r="M18" s="58">
        <f t="shared" si="4"/>
        <v>18</v>
      </c>
      <c r="N18" s="59">
        <v>3</v>
      </c>
      <c r="O18" s="59">
        <v>1</v>
      </c>
      <c r="P18" s="58">
        <f t="shared" si="5"/>
        <v>4</v>
      </c>
      <c r="Q18" s="58">
        <v>0</v>
      </c>
      <c r="R18" s="59">
        <v>0</v>
      </c>
      <c r="S18" s="58">
        <f t="shared" si="6"/>
        <v>0</v>
      </c>
      <c r="T18" s="59">
        <v>2</v>
      </c>
      <c r="U18" s="59">
        <v>0</v>
      </c>
      <c r="V18" s="58">
        <f t="shared" si="7"/>
        <v>2</v>
      </c>
      <c r="W18" s="58">
        <f t="shared" si="1"/>
        <v>25</v>
      </c>
      <c r="X18" s="58">
        <f t="shared" si="1"/>
        <v>39</v>
      </c>
      <c r="Y18" s="58">
        <f t="shared" si="8"/>
        <v>64</v>
      </c>
      <c r="Z18" s="77">
        <f t="shared" si="9"/>
        <v>92.592592592592595</v>
      </c>
      <c r="AA18" s="77">
        <f t="shared" si="10"/>
        <v>100</v>
      </c>
      <c r="AB18" s="77">
        <f t="shared" si="11"/>
        <v>96.969696969696969</v>
      </c>
      <c r="AC18" s="79" t="s">
        <v>39</v>
      </c>
    </row>
    <row r="19" spans="1:29" x14ac:dyDescent="0.25">
      <c r="A19" s="59">
        <v>4</v>
      </c>
      <c r="B19" s="194" t="s">
        <v>317</v>
      </c>
      <c r="C19" s="194"/>
      <c r="D19" s="194"/>
      <c r="E19" s="58">
        <v>27</v>
      </c>
      <c r="F19" s="58">
        <v>39</v>
      </c>
      <c r="G19" s="58">
        <f t="shared" si="2"/>
        <v>66</v>
      </c>
      <c r="H19" s="59">
        <v>27</v>
      </c>
      <c r="I19" s="59">
        <v>39</v>
      </c>
      <c r="J19" s="58">
        <f t="shared" si="3"/>
        <v>66</v>
      </c>
      <c r="K19" s="59">
        <v>0</v>
      </c>
      <c r="L19" s="59">
        <v>0</v>
      </c>
      <c r="M19" s="58">
        <f t="shared" si="4"/>
        <v>0</v>
      </c>
      <c r="N19" s="59">
        <v>0</v>
      </c>
      <c r="O19" s="59">
        <v>0</v>
      </c>
      <c r="P19" s="58">
        <f t="shared" si="5"/>
        <v>0</v>
      </c>
      <c r="Q19" s="59">
        <v>0</v>
      </c>
      <c r="R19" s="59">
        <v>0</v>
      </c>
      <c r="S19" s="58">
        <f t="shared" si="6"/>
        <v>0</v>
      </c>
      <c r="T19" s="59">
        <v>0</v>
      </c>
      <c r="U19" s="59">
        <v>0</v>
      </c>
      <c r="V19" s="58">
        <f t="shared" si="7"/>
        <v>0</v>
      </c>
      <c r="W19" s="58">
        <f>SUM(H19,K19,N19,Q19)</f>
        <v>27</v>
      </c>
      <c r="X19" s="58">
        <f>SUM(I19,L19,O19,R19)</f>
        <v>39</v>
      </c>
      <c r="Y19" s="58">
        <f t="shared" si="8"/>
        <v>66</v>
      </c>
      <c r="Z19" s="77">
        <f t="shared" si="9"/>
        <v>100</v>
      </c>
      <c r="AA19" s="77">
        <f t="shared" si="10"/>
        <v>100</v>
      </c>
      <c r="AB19" s="77">
        <f t="shared" si="11"/>
        <v>100</v>
      </c>
      <c r="AC19" s="79" t="s">
        <v>325</v>
      </c>
    </row>
    <row r="20" spans="1:29" x14ac:dyDescent="0.25">
      <c r="A20" s="59">
        <v>5</v>
      </c>
      <c r="B20" s="194" t="s">
        <v>318</v>
      </c>
      <c r="C20" s="194"/>
      <c r="D20" s="194"/>
      <c r="E20" s="58">
        <v>27</v>
      </c>
      <c r="F20" s="58">
        <v>39</v>
      </c>
      <c r="G20" s="58">
        <f t="shared" si="2"/>
        <v>66</v>
      </c>
      <c r="H20" s="59">
        <v>25</v>
      </c>
      <c r="I20" s="59">
        <v>39</v>
      </c>
      <c r="J20" s="58">
        <f t="shared" si="3"/>
        <v>64</v>
      </c>
      <c r="K20" s="59">
        <v>2</v>
      </c>
      <c r="L20" s="59">
        <v>0</v>
      </c>
      <c r="M20" s="58">
        <f t="shared" si="4"/>
        <v>2</v>
      </c>
      <c r="N20" s="59">
        <v>0</v>
      </c>
      <c r="O20" s="59">
        <v>0</v>
      </c>
      <c r="P20" s="58">
        <f t="shared" si="5"/>
        <v>0</v>
      </c>
      <c r="Q20" s="59">
        <v>0</v>
      </c>
      <c r="R20" s="59">
        <v>0</v>
      </c>
      <c r="S20" s="58">
        <f t="shared" si="6"/>
        <v>0</v>
      </c>
      <c r="T20" s="59">
        <v>0</v>
      </c>
      <c r="U20" s="59">
        <v>0</v>
      </c>
      <c r="V20" s="58">
        <f t="shared" si="7"/>
        <v>0</v>
      </c>
      <c r="W20" s="58">
        <f t="shared" ref="W20:X21" si="12">SUM(H20,K20,N20,Q20)</f>
        <v>27</v>
      </c>
      <c r="X20" s="58">
        <f t="shared" si="12"/>
        <v>39</v>
      </c>
      <c r="Y20" s="58">
        <f t="shared" si="8"/>
        <v>66</v>
      </c>
      <c r="Z20" s="77">
        <f t="shared" si="9"/>
        <v>100</v>
      </c>
      <c r="AA20" s="77">
        <f t="shared" si="10"/>
        <v>100</v>
      </c>
      <c r="AB20" s="77">
        <f t="shared" si="11"/>
        <v>100</v>
      </c>
      <c r="AC20" s="79" t="s">
        <v>326</v>
      </c>
    </row>
    <row r="21" spans="1:29" x14ac:dyDescent="0.25">
      <c r="A21" s="59">
        <v>6</v>
      </c>
      <c r="B21" s="195" t="s">
        <v>319</v>
      </c>
      <c r="C21" s="196"/>
      <c r="D21" s="196"/>
      <c r="E21" s="58">
        <v>27</v>
      </c>
      <c r="F21" s="58">
        <v>39</v>
      </c>
      <c r="G21" s="58">
        <f t="shared" si="2"/>
        <v>66</v>
      </c>
      <c r="H21" s="59">
        <v>18</v>
      </c>
      <c r="I21" s="59">
        <v>34</v>
      </c>
      <c r="J21" s="58">
        <f t="shared" si="3"/>
        <v>52</v>
      </c>
      <c r="K21" s="59">
        <v>8</v>
      </c>
      <c r="L21" s="59">
        <v>5</v>
      </c>
      <c r="M21" s="58">
        <f t="shared" si="4"/>
        <v>13</v>
      </c>
      <c r="N21" s="59">
        <v>1</v>
      </c>
      <c r="O21" s="59">
        <v>0</v>
      </c>
      <c r="P21" s="58">
        <f t="shared" si="5"/>
        <v>1</v>
      </c>
      <c r="Q21" s="59">
        <v>0</v>
      </c>
      <c r="R21" s="59">
        <v>0</v>
      </c>
      <c r="S21" s="58">
        <f t="shared" si="6"/>
        <v>0</v>
      </c>
      <c r="T21" s="59">
        <v>0</v>
      </c>
      <c r="U21" s="59">
        <v>0</v>
      </c>
      <c r="V21" s="58">
        <f t="shared" si="7"/>
        <v>0</v>
      </c>
      <c r="W21" s="58">
        <f t="shared" si="12"/>
        <v>27</v>
      </c>
      <c r="X21" s="58">
        <f t="shared" si="12"/>
        <v>39</v>
      </c>
      <c r="Y21" s="58">
        <f t="shared" si="8"/>
        <v>66</v>
      </c>
      <c r="Z21" s="77">
        <f t="shared" si="9"/>
        <v>100</v>
      </c>
      <c r="AA21" s="77">
        <f t="shared" si="10"/>
        <v>100</v>
      </c>
      <c r="AB21" s="77">
        <f t="shared" si="11"/>
        <v>100</v>
      </c>
      <c r="AC21" s="79" t="s">
        <v>325</v>
      </c>
    </row>
    <row r="22" spans="1:29" x14ac:dyDescent="0.25">
      <c r="A22" s="197" t="s">
        <v>40</v>
      </c>
      <c r="B22" s="198"/>
      <c r="C22" s="60" t="s">
        <v>327</v>
      </c>
      <c r="D22" s="60"/>
      <c r="E22" s="60"/>
      <c r="F22" s="60"/>
      <c r="G22" s="60"/>
      <c r="H22" s="60"/>
      <c r="I22" s="60"/>
      <c r="J22" s="60"/>
      <c r="K22" s="60"/>
      <c r="L22" s="60"/>
      <c r="M22" s="61"/>
      <c r="N22" s="61"/>
      <c r="O22" s="61"/>
      <c r="P22" s="60" t="s">
        <v>328</v>
      </c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82"/>
    </row>
    <row r="23" spans="1:29" x14ac:dyDescent="0.25">
      <c r="A23" s="67"/>
      <c r="B23" s="61"/>
      <c r="C23" s="61"/>
      <c r="D23" s="61"/>
      <c r="E23" s="61"/>
      <c r="F23" s="61"/>
      <c r="G23" s="60" t="s">
        <v>329</v>
      </c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82"/>
    </row>
    <row r="24" spans="1:29" x14ac:dyDescent="0.25">
      <c r="A24" s="67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82"/>
    </row>
    <row r="25" spans="1:29" x14ac:dyDescent="0.25">
      <c r="A25" s="69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2"/>
    </row>
    <row r="26" spans="1:29" x14ac:dyDescent="0.25">
      <c r="A26" s="69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2"/>
    </row>
    <row r="27" spans="1:29" x14ac:dyDescent="0.25">
      <c r="A27" s="69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2"/>
    </row>
    <row r="28" spans="1:29" x14ac:dyDescent="0.25">
      <c r="A28" s="69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2"/>
    </row>
    <row r="29" spans="1:29" x14ac:dyDescent="0.25">
      <c r="A29" s="69"/>
      <c r="B29" s="70" t="s">
        <v>44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0" t="s">
        <v>45</v>
      </c>
      <c r="O29" s="70"/>
      <c r="P29" s="70"/>
      <c r="Q29" s="70"/>
      <c r="R29" s="70"/>
      <c r="S29" s="71"/>
      <c r="T29" s="71"/>
      <c r="U29" s="71"/>
      <c r="V29" s="71"/>
      <c r="W29" s="71"/>
      <c r="X29" s="71"/>
      <c r="Y29" s="70" t="s">
        <v>46</v>
      </c>
      <c r="Z29" s="71"/>
      <c r="AA29" s="71"/>
      <c r="AB29" s="71"/>
      <c r="AC29" s="72"/>
    </row>
    <row r="30" spans="1:29" x14ac:dyDescent="0.25">
      <c r="A30" s="69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2"/>
    </row>
    <row r="31" spans="1:29" x14ac:dyDescent="0.25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5"/>
    </row>
  </sheetData>
  <mergeCells count="59">
    <mergeCell ref="A1:AC1"/>
    <mergeCell ref="A2:AC2"/>
    <mergeCell ref="A3:AC3"/>
    <mergeCell ref="C4:H4"/>
    <mergeCell ref="I4:J4"/>
    <mergeCell ref="K4:L4"/>
    <mergeCell ref="M4:N4"/>
    <mergeCell ref="P4:X4"/>
    <mergeCell ref="C5:H5"/>
    <mergeCell ref="I5:J5"/>
    <mergeCell ref="K5:L5"/>
    <mergeCell ref="M5:N5"/>
    <mergeCell ref="C6:H6"/>
    <mergeCell ref="I6:J6"/>
    <mergeCell ref="K6:L6"/>
    <mergeCell ref="M6:N6"/>
    <mergeCell ref="C7:H7"/>
    <mergeCell ref="I7:J7"/>
    <mergeCell ref="K7:L7"/>
    <mergeCell ref="M7:N7"/>
    <mergeCell ref="C8:H8"/>
    <mergeCell ref="I8:J8"/>
    <mergeCell ref="K8:L8"/>
    <mergeCell ref="M8:N8"/>
    <mergeCell ref="C9:H9"/>
    <mergeCell ref="I9:J9"/>
    <mergeCell ref="K9:L9"/>
    <mergeCell ref="M9:N9"/>
    <mergeCell ref="C10:H10"/>
    <mergeCell ref="I10:J10"/>
    <mergeCell ref="K10:L10"/>
    <mergeCell ref="M10:N10"/>
    <mergeCell ref="C11:H11"/>
    <mergeCell ref="I11:J11"/>
    <mergeCell ref="K11:L11"/>
    <mergeCell ref="M11:N11"/>
    <mergeCell ref="C12:H12"/>
    <mergeCell ref="I12:J12"/>
    <mergeCell ref="K12:L12"/>
    <mergeCell ref="M12:N12"/>
    <mergeCell ref="A13:AC13"/>
    <mergeCell ref="A14:A15"/>
    <mergeCell ref="B14:D15"/>
    <mergeCell ref="E14:G14"/>
    <mergeCell ref="H14:J14"/>
    <mergeCell ref="K14:M14"/>
    <mergeCell ref="N14:P14"/>
    <mergeCell ref="Q14:S14"/>
    <mergeCell ref="T14:V14"/>
    <mergeCell ref="W14:Y14"/>
    <mergeCell ref="B20:D20"/>
    <mergeCell ref="B21:D21"/>
    <mergeCell ref="A22:B22"/>
    <mergeCell ref="Z14:AB14"/>
    <mergeCell ref="AC14:AC15"/>
    <mergeCell ref="B16:D16"/>
    <mergeCell ref="B17:D17"/>
    <mergeCell ref="B18:D18"/>
    <mergeCell ref="B19:D19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T139"/>
  <sheetViews>
    <sheetView topLeftCell="P13" zoomScale="70" zoomScaleNormal="70" workbookViewId="0">
      <selection activeCell="AH12" sqref="AH12:AH108"/>
    </sheetView>
  </sheetViews>
  <sheetFormatPr defaultRowHeight="15.95" customHeight="1" x14ac:dyDescent="0.25"/>
  <cols>
    <col min="1" max="1" width="9.140625" style="9"/>
    <col min="2" max="2" width="38.140625" style="9" customWidth="1"/>
    <col min="3" max="3" width="6.85546875" style="9" customWidth="1"/>
    <col min="4" max="4" width="14.85546875" style="9" customWidth="1"/>
    <col min="5" max="5" width="8.140625" style="14" customWidth="1"/>
    <col min="6" max="6" width="7.7109375" style="14" customWidth="1"/>
    <col min="7" max="7" width="8.42578125" style="9" customWidth="1"/>
    <col min="8" max="9" width="8.140625" style="9" customWidth="1"/>
    <col min="10" max="10" width="8" style="14" customWidth="1"/>
    <col min="11" max="11" width="7.7109375" style="14" customWidth="1"/>
    <col min="12" max="12" width="8.140625" style="9" customWidth="1"/>
    <col min="13" max="13" width="8" style="9" customWidth="1"/>
    <col min="14" max="14" width="7.7109375" style="9" customWidth="1"/>
    <col min="15" max="15" width="10" style="14" customWidth="1"/>
    <col min="16" max="16" width="8" style="14" customWidth="1"/>
    <col min="17" max="17" width="8.42578125" style="9" customWidth="1"/>
    <col min="18" max="18" width="7.7109375" style="9" customWidth="1"/>
    <col min="19" max="19" width="9.140625" style="9"/>
    <col min="20" max="20" width="7.7109375" style="9" customWidth="1"/>
    <col min="21" max="21" width="7.42578125" style="9" customWidth="1"/>
    <col min="22" max="22" width="8.140625" style="9" customWidth="1"/>
    <col min="23" max="23" width="8" style="9" customWidth="1"/>
    <col min="24" max="24" width="9.140625" style="9"/>
    <col min="25" max="25" width="7.7109375" style="9" customWidth="1"/>
    <col min="26" max="26" width="8.140625" style="9" customWidth="1"/>
    <col min="27" max="27" width="7.7109375" style="9" customWidth="1"/>
    <col min="28" max="29" width="8.140625" style="9" customWidth="1"/>
    <col min="30" max="30" width="8" style="9" customWidth="1"/>
    <col min="31" max="31" width="6" style="9" customWidth="1"/>
    <col min="32" max="32" width="7.7109375" style="9" customWidth="1"/>
    <col min="33" max="33" width="8" style="9" customWidth="1"/>
    <col min="34" max="16384" width="9.140625" style="9"/>
  </cols>
  <sheetData>
    <row r="1" spans="1:46" ht="15.95" customHeight="1" x14ac:dyDescent="0.25">
      <c r="A1" s="225" t="s">
        <v>0</v>
      </c>
      <c r="B1" s="226"/>
      <c r="C1" s="226"/>
      <c r="D1" s="226"/>
      <c r="E1" s="226"/>
      <c r="F1" s="226"/>
      <c r="G1" s="226"/>
      <c r="H1" s="226"/>
      <c r="I1" s="226"/>
      <c r="J1" s="226"/>
      <c r="K1" s="8"/>
      <c r="L1" s="8"/>
      <c r="M1" s="5"/>
      <c r="N1" s="5"/>
      <c r="O1" s="8"/>
      <c r="P1" s="8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spans="1:46" ht="15.95" customHeight="1" x14ac:dyDescent="0.25">
      <c r="A2" s="227" t="s">
        <v>1</v>
      </c>
      <c r="B2" s="228"/>
      <c r="C2" s="228"/>
      <c r="D2" s="228"/>
      <c r="E2" s="228"/>
      <c r="F2" s="228"/>
      <c r="G2" s="228"/>
      <c r="H2" s="228"/>
      <c r="I2" s="228"/>
      <c r="J2" s="228"/>
    </row>
    <row r="3" spans="1:46" ht="15.95" customHeight="1" x14ac:dyDescent="0.25">
      <c r="A3" s="229" t="s">
        <v>50</v>
      </c>
      <c r="B3" s="230"/>
      <c r="C3" s="230"/>
      <c r="D3" s="230"/>
      <c r="E3" s="230"/>
      <c r="F3" s="230"/>
      <c r="G3" s="230"/>
      <c r="H3" s="230"/>
      <c r="I3" s="230"/>
      <c r="J3" s="230"/>
    </row>
    <row r="4" spans="1:46" ht="15.95" customHeight="1" x14ac:dyDescent="0.25">
      <c r="A4" s="6"/>
      <c r="B4" s="3"/>
      <c r="C4" s="42"/>
      <c r="D4" s="3"/>
      <c r="E4" s="3"/>
      <c r="F4" s="3"/>
      <c r="G4" s="3"/>
      <c r="H4" s="3"/>
      <c r="I4" s="3"/>
      <c r="J4" s="3"/>
    </row>
    <row r="5" spans="1:46" ht="15.95" customHeight="1" x14ac:dyDescent="0.25">
      <c r="A5" s="231" t="s">
        <v>49</v>
      </c>
      <c r="B5" s="232"/>
      <c r="C5" s="232"/>
      <c r="D5" s="232"/>
      <c r="E5" s="233" t="s">
        <v>2</v>
      </c>
      <c r="F5" s="233"/>
      <c r="G5" s="234"/>
      <c r="H5" s="234"/>
      <c r="I5" s="234"/>
      <c r="J5" s="234"/>
      <c r="K5" s="234"/>
      <c r="L5" s="234"/>
      <c r="M5" s="234"/>
    </row>
    <row r="6" spans="1:46" ht="15.95" customHeight="1" x14ac:dyDescent="0.25">
      <c r="A6" s="7"/>
      <c r="B6" s="2"/>
      <c r="C6" s="43"/>
      <c r="D6" s="2"/>
      <c r="E6" s="15"/>
    </row>
    <row r="7" spans="1:46" ht="15.95" customHeight="1" x14ac:dyDescent="0.25">
      <c r="A7" s="7"/>
      <c r="B7" s="2"/>
      <c r="C7" s="43"/>
      <c r="D7" s="2"/>
      <c r="E7" s="15"/>
    </row>
    <row r="8" spans="1:46" ht="15.95" customHeight="1" x14ac:dyDescent="0.25">
      <c r="A8" s="45" t="s">
        <v>3</v>
      </c>
      <c r="B8" s="45" t="s">
        <v>4</v>
      </c>
      <c r="C8" s="45" t="s">
        <v>14</v>
      </c>
      <c r="D8" s="45" t="s">
        <v>5</v>
      </c>
      <c r="E8" s="223" t="s">
        <v>247</v>
      </c>
      <c r="F8" s="223"/>
      <c r="G8" s="223"/>
      <c r="H8" s="223"/>
      <c r="I8" s="223"/>
      <c r="J8" s="223" t="s">
        <v>248</v>
      </c>
      <c r="K8" s="223"/>
      <c r="L8" s="223"/>
      <c r="M8" s="223"/>
      <c r="N8" s="223"/>
      <c r="O8" s="223" t="s">
        <v>316</v>
      </c>
      <c r="P8" s="223"/>
      <c r="Q8" s="223"/>
      <c r="R8" s="223"/>
      <c r="S8" s="223"/>
      <c r="T8" s="223" t="s">
        <v>317</v>
      </c>
      <c r="U8" s="223"/>
      <c r="V8" s="223"/>
      <c r="W8" s="223"/>
      <c r="X8" s="223"/>
      <c r="Y8" s="223" t="s">
        <v>318</v>
      </c>
      <c r="Z8" s="223"/>
      <c r="AA8" s="223"/>
      <c r="AB8" s="223"/>
      <c r="AC8" s="223"/>
      <c r="AD8" s="223" t="s">
        <v>319</v>
      </c>
      <c r="AE8" s="223"/>
      <c r="AF8" s="223"/>
      <c r="AG8" s="223"/>
      <c r="AH8" s="223"/>
      <c r="AI8" s="184"/>
      <c r="AJ8" s="223" t="s">
        <v>6</v>
      </c>
      <c r="AK8" s="224" t="s">
        <v>7</v>
      </c>
      <c r="AL8" s="26"/>
      <c r="AS8" s="4"/>
    </row>
    <row r="9" spans="1:46" ht="16.5" customHeight="1" x14ac:dyDescent="0.25">
      <c r="A9" s="45"/>
      <c r="B9" s="45"/>
      <c r="C9" s="45"/>
      <c r="D9" s="45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  <c r="AD9" s="223"/>
      <c r="AE9" s="223"/>
      <c r="AF9" s="223"/>
      <c r="AG9" s="223"/>
      <c r="AH9" s="223"/>
      <c r="AI9" s="184"/>
      <c r="AJ9" s="223"/>
      <c r="AK9" s="224"/>
      <c r="AL9" s="26"/>
      <c r="AS9" s="4"/>
    </row>
    <row r="10" spans="1:46" ht="15.95" customHeight="1" x14ac:dyDescent="0.25">
      <c r="A10" s="45"/>
      <c r="B10" s="45"/>
      <c r="C10" s="45"/>
      <c r="D10" s="45"/>
      <c r="E10" s="122" t="s">
        <v>8</v>
      </c>
      <c r="F10" s="122" t="s">
        <v>9</v>
      </c>
      <c r="G10" s="122" t="s">
        <v>10</v>
      </c>
      <c r="H10" s="122" t="s">
        <v>11</v>
      </c>
      <c r="I10" s="16" t="s">
        <v>12</v>
      </c>
      <c r="J10" s="122" t="s">
        <v>8</v>
      </c>
      <c r="K10" s="122" t="s">
        <v>9</v>
      </c>
      <c r="L10" s="122" t="s">
        <v>10</v>
      </c>
      <c r="M10" s="122" t="s">
        <v>11</v>
      </c>
      <c r="N10" s="16" t="s">
        <v>12</v>
      </c>
      <c r="O10" s="122" t="s">
        <v>8</v>
      </c>
      <c r="P10" s="122" t="s">
        <v>9</v>
      </c>
      <c r="Q10" s="122" t="s">
        <v>10</v>
      </c>
      <c r="R10" s="122" t="s">
        <v>11</v>
      </c>
      <c r="S10" s="122" t="s">
        <v>12</v>
      </c>
      <c r="T10" s="122" t="s">
        <v>8</v>
      </c>
      <c r="U10" s="122" t="s">
        <v>9</v>
      </c>
      <c r="V10" s="122" t="s">
        <v>10</v>
      </c>
      <c r="W10" s="122" t="s">
        <v>11</v>
      </c>
      <c r="X10" s="122" t="s">
        <v>12</v>
      </c>
      <c r="Y10" s="122" t="s">
        <v>8</v>
      </c>
      <c r="Z10" s="122" t="s">
        <v>9</v>
      </c>
      <c r="AA10" s="122" t="s">
        <v>10</v>
      </c>
      <c r="AB10" s="122" t="s">
        <v>11</v>
      </c>
      <c r="AC10" s="122" t="s">
        <v>12</v>
      </c>
      <c r="AD10" s="122" t="s">
        <v>8</v>
      </c>
      <c r="AE10" s="122" t="s">
        <v>9</v>
      </c>
      <c r="AF10" s="122" t="s">
        <v>10</v>
      </c>
      <c r="AG10" s="122" t="s">
        <v>11</v>
      </c>
      <c r="AH10" s="122" t="s">
        <v>12</v>
      </c>
      <c r="AI10" s="184"/>
      <c r="AJ10" s="223"/>
      <c r="AK10" s="224"/>
      <c r="AL10" s="26"/>
      <c r="AS10" s="4"/>
    </row>
    <row r="11" spans="1:46" s="17" customFormat="1" ht="15.95" hidden="1" customHeight="1" x14ac:dyDescent="0.25">
      <c r="A11" s="83">
        <v>1</v>
      </c>
      <c r="B11" s="86" t="s">
        <v>51</v>
      </c>
      <c r="C11" s="276" t="s">
        <v>13</v>
      </c>
      <c r="D11" s="87" t="s">
        <v>149</v>
      </c>
      <c r="E11" s="22">
        <v>48</v>
      </c>
      <c r="F11" s="22">
        <v>37</v>
      </c>
      <c r="G11" s="27">
        <f>SUM(E11+F11)</f>
        <v>85</v>
      </c>
      <c r="H11" s="29">
        <f t="shared" ref="H11:H59" si="0">AVERAGE(G11)</f>
        <v>85</v>
      </c>
      <c r="I11" s="28" t="str">
        <f>IF((F11&lt;18),"F",IF(AND(H11&gt;=70,H11&lt;100),"FCD",IF(AND(H11&gt;=60,H11&lt;70),"FC",IF(AND(H11&gt;=35,H11&lt;60),"SC",IF(AND(H11&gt;0,H11&gt;35),"F")))))</f>
        <v>FCD</v>
      </c>
      <c r="J11" s="22">
        <v>49</v>
      </c>
      <c r="K11" s="22">
        <v>23</v>
      </c>
      <c r="L11" s="243">
        <f t="shared" ref="L11:L59" si="1">SUM(J11+K11)</f>
        <v>72</v>
      </c>
      <c r="M11" s="28">
        <f t="shared" ref="M11:M60" si="2">AVERAGE(L11)</f>
        <v>72</v>
      </c>
      <c r="N11" s="39" t="str">
        <f>IF((K11&lt;18),"F",IF(AND(M11&gt;=70,M11&lt;100),"FCD",IF(AND(M11&gt;=60,M11&lt;70),"FC",IF(AND(M11&gt;=35,M11&lt;60),"SC",IF(AND(M11&gt;0,M11&gt;35),"F")))))</f>
        <v>FCD</v>
      </c>
      <c r="O11" s="22">
        <v>49</v>
      </c>
      <c r="P11" s="22">
        <v>32</v>
      </c>
      <c r="Q11" s="247">
        <f t="shared" ref="Q11:Q59" si="3">SUM(O11+P11)</f>
        <v>81</v>
      </c>
      <c r="R11" s="28">
        <f t="shared" ref="R11:R59" si="4">AVERAGE(Q11)</f>
        <v>81</v>
      </c>
      <c r="S11" s="25" t="str">
        <f>IF((P11&lt;18),"F",IF(AND(R11&gt;=70,R11&lt;100),"FCD",IF(AND(R11&gt;=60,R11&lt;70),"FC",IF(AND(R11&gt;=35,R11&lt;60),"SC",IF(AND(R11&gt;0,R11&gt;35),"F")))))</f>
        <v>FCD</v>
      </c>
      <c r="T11" s="22">
        <v>96</v>
      </c>
      <c r="U11" s="22">
        <v>95</v>
      </c>
      <c r="V11" s="247">
        <f t="shared" ref="V11:V69" si="5">SUM(T11+U11)</f>
        <v>191</v>
      </c>
      <c r="W11" s="30">
        <f>AVERAGE(V11/2)</f>
        <v>95.5</v>
      </c>
      <c r="X11" s="25" t="str">
        <f>IF((U11&lt;18),"F",IF(AND(W11&gt;=70,W11&lt;100),"FCD",IF(AND(W11&gt;=60,W11&lt;70),"FC",IF(AND(W11&gt;=35,W11&lt;60),"SC",IF(AND(W11&gt;0,W11&gt;35),"F")))))</f>
        <v>FCD</v>
      </c>
      <c r="Y11" s="23">
        <v>50</v>
      </c>
      <c r="Z11" s="23">
        <v>37</v>
      </c>
      <c r="AA11" s="252">
        <f t="shared" ref="AA11:AA59" si="6">SUM(Y11+Z11)</f>
        <v>87</v>
      </c>
      <c r="AB11" s="25">
        <f t="shared" ref="AB11:AB59" si="7">AVERAGE(AA11)</f>
        <v>87</v>
      </c>
      <c r="AC11" s="23" t="str">
        <f>IF((Z11&lt;18),"F",IF(AND(AB11&gt;=70,AB11&lt;100),"FCD",IF(AND(AB11&gt;=60,AB11&lt;70),"FC",IF(AND(AB11&gt;=35,AB11&lt;60),"SC",IF(AND(AB11&gt;0,AB11&gt;35),"F")))))</f>
        <v>FCD</v>
      </c>
      <c r="AD11" s="23">
        <v>47</v>
      </c>
      <c r="AE11" s="23">
        <v>32</v>
      </c>
      <c r="AF11" s="257">
        <f t="shared" ref="AF11:AF59" si="8">SUM(AD11+AE11)</f>
        <v>79</v>
      </c>
      <c r="AG11" s="25">
        <f t="shared" ref="AG11:AG59" si="9">AVERAGE(AF11)</f>
        <v>79</v>
      </c>
      <c r="AH11" s="25" t="str">
        <f t="shared" ref="AH11:AH59" si="10">IF((AE11&lt;18),"F",IF(AND(AG11&gt;=70,AG11&lt;100),"FCD",IF(AND(AG11&gt;=60,AG11&lt;70),"FC",IF(AND(AG11&gt;=35,AG11&lt;60),"SC",IF(AND(AG11&gt;0,AG11&gt;35),"F")))))</f>
        <v>FCD</v>
      </c>
      <c r="AI11" s="257">
        <f>SUM(G11,L11,Q11,V11,AA11,AF11)</f>
        <v>595</v>
      </c>
      <c r="AJ11" s="261">
        <f>(AI11/700*100)</f>
        <v>85</v>
      </c>
      <c r="AK11" s="262" t="str">
        <f>IF(AND(AJ11&gt;=70,AJ11&lt;100),"FCD",IF(AND(AJ11&gt;=60,AJ11&lt;70),"FC",IF(AND(AJ11&gt;=35,AJ11&lt;60)," SC",IF(AND(AJ11&gt;0,AJ11&lt;35),"FAIL"))))</f>
        <v>FCD</v>
      </c>
      <c r="AL11" s="133"/>
      <c r="AS11" s="18"/>
    </row>
    <row r="12" spans="1:46" ht="15.95" customHeight="1" x14ac:dyDescent="0.25">
      <c r="A12" s="138">
        <v>2</v>
      </c>
      <c r="B12" s="139" t="s">
        <v>52</v>
      </c>
      <c r="C12" s="277" t="s">
        <v>15</v>
      </c>
      <c r="D12" s="141" t="s">
        <v>150</v>
      </c>
      <c r="E12" s="142">
        <v>47</v>
      </c>
      <c r="F12" s="142">
        <v>27</v>
      </c>
      <c r="G12" s="143">
        <f t="shared" ref="G12:G59" si="11">SUM(E12+F12)</f>
        <v>74</v>
      </c>
      <c r="H12" s="144">
        <f t="shared" si="0"/>
        <v>74</v>
      </c>
      <c r="I12" s="145" t="str">
        <f t="shared" ref="I12:I59" si="12">IF((F12&lt;18),"F",IF(AND(H12&gt;=70,H12&lt;100),"FCD",IF(AND(H12&gt;=60,H12&lt;70),"FC",IF(AND(H12&gt;=35,H12&lt;60),"SC",IF(AND(H12&gt;0,H12&gt;35),"F")))))</f>
        <v>FCD</v>
      </c>
      <c r="J12" s="146">
        <v>50</v>
      </c>
      <c r="K12" s="146">
        <v>43</v>
      </c>
      <c r="L12" s="244">
        <f t="shared" si="1"/>
        <v>93</v>
      </c>
      <c r="M12" s="145">
        <f t="shared" si="2"/>
        <v>93</v>
      </c>
      <c r="N12" s="147" t="str">
        <f t="shared" ref="N12:N59" si="13">IF((K12&lt;18),"F",IF(AND(M12&gt;=70,M12&lt;100),"FCD",IF(AND(M12&gt;=60,M12&lt;70),"FC",IF(AND(M12&gt;=35,M12&lt;60),"SC",IF(AND(M12&gt;0,M12&gt;35),"F")))))</f>
        <v>FCD</v>
      </c>
      <c r="O12" s="146">
        <v>50</v>
      </c>
      <c r="P12" s="146">
        <v>26</v>
      </c>
      <c r="Q12" s="248">
        <f t="shared" si="3"/>
        <v>76</v>
      </c>
      <c r="R12" s="145">
        <f t="shared" si="4"/>
        <v>76</v>
      </c>
      <c r="S12" s="149" t="str">
        <f t="shared" ref="S12:S59" si="14">IF((P12&lt;18),"F",IF(AND(R12&gt;=70,R12&lt;100),"FCD",IF(AND(R12&gt;=60,R12&lt;70),"FC",IF(AND(R12&gt;=35,R12&lt;60),"SC",IF(AND(R12&gt;0,R12&gt;35),"F")))))</f>
        <v>FCD</v>
      </c>
      <c r="T12" s="146">
        <v>97</v>
      </c>
      <c r="U12" s="146">
        <v>96</v>
      </c>
      <c r="V12" s="248">
        <f t="shared" si="5"/>
        <v>193</v>
      </c>
      <c r="W12" s="148">
        <f t="shared" ref="W12:W74" si="15">AVERAGE(V12/2)</f>
        <v>96.5</v>
      </c>
      <c r="X12" s="149" t="str">
        <f t="shared" ref="X12:X59" si="16">IF((U12&lt;18),"F",IF(AND(W12&gt;=70,W12&lt;100),"FCD",IF(AND(W12&gt;=60,W12&lt;70),"FC",IF(AND(W12&gt;=35,W12&lt;60),"SC",IF(AND(W12&gt;0,W12&gt;35),"F")))))</f>
        <v>FCD</v>
      </c>
      <c r="Y12" s="146">
        <v>49</v>
      </c>
      <c r="Z12" s="146">
        <v>43</v>
      </c>
      <c r="AA12" s="253">
        <f t="shared" si="6"/>
        <v>92</v>
      </c>
      <c r="AB12" s="149">
        <f t="shared" si="7"/>
        <v>92</v>
      </c>
      <c r="AC12" s="23" t="str">
        <f t="shared" ref="AC12:AC75" si="17">IF((Z12&lt;18),"F",IF(AND(AB12&gt;=70,AB12&lt;100),"FCD",IF(AND(AB12&gt;=60,AB12&lt;70),"FC",IF(AND(AB12&gt;=35,AB12&lt;60),"SC",IF(AND(AB12&gt;0,AB12&gt;35),"F")))))</f>
        <v>FCD</v>
      </c>
      <c r="AD12" s="146">
        <v>49</v>
      </c>
      <c r="AE12" s="146">
        <v>30</v>
      </c>
      <c r="AF12" s="258">
        <f t="shared" si="8"/>
        <v>79</v>
      </c>
      <c r="AG12" s="149">
        <f t="shared" si="9"/>
        <v>79</v>
      </c>
      <c r="AH12" s="149" t="str">
        <f t="shared" si="10"/>
        <v>FCD</v>
      </c>
      <c r="AI12" s="257">
        <f t="shared" ref="AI12:AI75" si="18">SUM(G12,L12,Q12,V12,AA12,AF12)</f>
        <v>607</v>
      </c>
      <c r="AJ12" s="261">
        <f t="shared" ref="AJ12:AJ75" si="19">(AI12/700*100)</f>
        <v>86.714285714285708</v>
      </c>
      <c r="AK12" s="263" t="str">
        <f t="shared" ref="AK12:AK57" si="20">IF(AND(AJ12&gt;=70,AJ12&lt;100),"FCD",IF(AND(AJ12&gt;=60,AJ12&lt;70),"FC",IF(AND(AJ12&gt;=35,AJ12&lt;60)," SC",IF(AND(AJ12&gt;0,AJ12&lt;35),"FAIL"))))</f>
        <v>FCD</v>
      </c>
      <c r="AL12" s="24"/>
      <c r="AM12" s="1"/>
      <c r="AN12" s="1"/>
      <c r="AO12" s="1"/>
      <c r="AP12" s="1"/>
      <c r="AQ12" s="1"/>
      <c r="AR12" s="1"/>
      <c r="AS12" s="4"/>
      <c r="AT12" s="1"/>
    </row>
    <row r="13" spans="1:46" ht="15.95" customHeight="1" x14ac:dyDescent="0.25">
      <c r="A13" s="83">
        <v>3</v>
      </c>
      <c r="B13" s="86" t="s">
        <v>53</v>
      </c>
      <c r="C13" s="276" t="s">
        <v>15</v>
      </c>
      <c r="D13" s="87" t="s">
        <v>151</v>
      </c>
      <c r="E13" s="88">
        <v>49</v>
      </c>
      <c r="F13" s="88">
        <v>30</v>
      </c>
      <c r="G13" s="27">
        <f t="shared" si="11"/>
        <v>79</v>
      </c>
      <c r="H13" s="29">
        <f t="shared" si="0"/>
        <v>79</v>
      </c>
      <c r="I13" s="28" t="str">
        <f t="shared" si="12"/>
        <v>FCD</v>
      </c>
      <c r="J13" s="88">
        <v>49</v>
      </c>
      <c r="K13" s="88">
        <v>31</v>
      </c>
      <c r="L13" s="243">
        <f t="shared" si="1"/>
        <v>80</v>
      </c>
      <c r="M13" s="28">
        <f t="shared" si="2"/>
        <v>80</v>
      </c>
      <c r="N13" s="39" t="str">
        <f t="shared" si="13"/>
        <v>FCD</v>
      </c>
      <c r="O13" s="88">
        <v>50</v>
      </c>
      <c r="P13" s="88">
        <v>18</v>
      </c>
      <c r="Q13" s="247">
        <f t="shared" si="3"/>
        <v>68</v>
      </c>
      <c r="R13" s="28">
        <f t="shared" si="4"/>
        <v>68</v>
      </c>
      <c r="S13" s="25" t="str">
        <f t="shared" si="14"/>
        <v>FC</v>
      </c>
      <c r="T13" s="88">
        <v>97</v>
      </c>
      <c r="U13" s="88">
        <v>97</v>
      </c>
      <c r="V13" s="247">
        <f t="shared" si="5"/>
        <v>194</v>
      </c>
      <c r="W13" s="30">
        <f t="shared" si="15"/>
        <v>97</v>
      </c>
      <c r="X13" s="25" t="str">
        <f t="shared" si="16"/>
        <v>FCD</v>
      </c>
      <c r="Y13" s="88">
        <v>49</v>
      </c>
      <c r="Z13" s="88">
        <v>38</v>
      </c>
      <c r="AA13" s="252">
        <f t="shared" si="6"/>
        <v>87</v>
      </c>
      <c r="AB13" s="25">
        <f t="shared" si="7"/>
        <v>87</v>
      </c>
      <c r="AC13" s="23" t="str">
        <f t="shared" si="17"/>
        <v>FCD</v>
      </c>
      <c r="AD13" s="88">
        <v>48</v>
      </c>
      <c r="AE13" s="88">
        <v>28</v>
      </c>
      <c r="AF13" s="257">
        <f t="shared" si="8"/>
        <v>76</v>
      </c>
      <c r="AG13" s="25">
        <f t="shared" si="9"/>
        <v>76</v>
      </c>
      <c r="AH13" s="25" t="str">
        <f t="shared" si="10"/>
        <v>FCD</v>
      </c>
      <c r="AI13" s="257">
        <f t="shared" si="18"/>
        <v>584</v>
      </c>
      <c r="AJ13" s="261">
        <f t="shared" si="19"/>
        <v>83.428571428571431</v>
      </c>
      <c r="AK13" s="262" t="str">
        <f t="shared" si="20"/>
        <v>FCD</v>
      </c>
      <c r="AL13" s="24">
        <v>2</v>
      </c>
      <c r="AM13" s="1"/>
      <c r="AN13" s="1"/>
      <c r="AO13" s="1"/>
      <c r="AP13" s="1"/>
      <c r="AQ13" s="1"/>
      <c r="AR13" s="1"/>
      <c r="AS13" s="4"/>
      <c r="AT13" s="4"/>
    </row>
    <row r="14" spans="1:46" ht="15.95" customHeight="1" x14ac:dyDescent="0.25">
      <c r="A14" s="83">
        <v>4</v>
      </c>
      <c r="B14" s="86" t="s">
        <v>54</v>
      </c>
      <c r="C14" s="276" t="s">
        <v>15</v>
      </c>
      <c r="D14" s="87" t="s">
        <v>152</v>
      </c>
      <c r="E14" s="88">
        <v>45</v>
      </c>
      <c r="F14" s="88">
        <v>19</v>
      </c>
      <c r="G14" s="27">
        <f t="shared" si="11"/>
        <v>64</v>
      </c>
      <c r="H14" s="29">
        <f t="shared" si="0"/>
        <v>64</v>
      </c>
      <c r="I14" s="28" t="str">
        <f t="shared" si="12"/>
        <v>FC</v>
      </c>
      <c r="J14" s="88">
        <v>50</v>
      </c>
      <c r="K14" s="88">
        <v>26</v>
      </c>
      <c r="L14" s="243">
        <f t="shared" si="1"/>
        <v>76</v>
      </c>
      <c r="M14" s="28">
        <f t="shared" si="2"/>
        <v>76</v>
      </c>
      <c r="N14" s="39" t="str">
        <f t="shared" si="13"/>
        <v>FCD</v>
      </c>
      <c r="O14" s="88">
        <v>50</v>
      </c>
      <c r="P14" s="88">
        <v>22</v>
      </c>
      <c r="Q14" s="247">
        <f t="shared" si="3"/>
        <v>72</v>
      </c>
      <c r="R14" s="28">
        <f t="shared" si="4"/>
        <v>72</v>
      </c>
      <c r="S14" s="25" t="str">
        <f t="shared" si="14"/>
        <v>FCD</v>
      </c>
      <c r="T14" s="88">
        <v>97</v>
      </c>
      <c r="U14" s="88">
        <v>97</v>
      </c>
      <c r="V14" s="247">
        <f t="shared" si="5"/>
        <v>194</v>
      </c>
      <c r="W14" s="30">
        <f t="shared" si="15"/>
        <v>97</v>
      </c>
      <c r="X14" s="25" t="str">
        <f t="shared" si="16"/>
        <v>FCD</v>
      </c>
      <c r="Y14" s="88">
        <v>50</v>
      </c>
      <c r="Z14" s="88">
        <v>37</v>
      </c>
      <c r="AA14" s="252">
        <f t="shared" si="6"/>
        <v>87</v>
      </c>
      <c r="AB14" s="25">
        <f t="shared" si="7"/>
        <v>87</v>
      </c>
      <c r="AC14" s="23" t="str">
        <f t="shared" si="17"/>
        <v>FCD</v>
      </c>
      <c r="AD14" s="88">
        <v>48</v>
      </c>
      <c r="AE14" s="88">
        <v>29</v>
      </c>
      <c r="AF14" s="257">
        <f t="shared" si="8"/>
        <v>77</v>
      </c>
      <c r="AG14" s="25">
        <f t="shared" si="9"/>
        <v>77</v>
      </c>
      <c r="AH14" s="25" t="str">
        <f t="shared" si="10"/>
        <v>FCD</v>
      </c>
      <c r="AI14" s="257">
        <f t="shared" si="18"/>
        <v>570</v>
      </c>
      <c r="AJ14" s="261">
        <f t="shared" si="19"/>
        <v>81.428571428571431</v>
      </c>
      <c r="AK14" s="262" t="str">
        <f t="shared" si="20"/>
        <v>FCD</v>
      </c>
      <c r="AL14" s="24"/>
      <c r="AM14" s="1"/>
      <c r="AN14" s="1"/>
      <c r="AO14" s="1"/>
      <c r="AP14" s="1"/>
      <c r="AQ14" s="1"/>
      <c r="AR14" s="1"/>
      <c r="AS14" s="4"/>
      <c r="AT14" s="4"/>
    </row>
    <row r="15" spans="1:46" ht="15.95" customHeight="1" x14ac:dyDescent="0.25">
      <c r="A15" s="83">
        <v>5</v>
      </c>
      <c r="B15" s="86" t="s">
        <v>55</v>
      </c>
      <c r="C15" s="276" t="s">
        <v>15</v>
      </c>
      <c r="D15" s="87" t="s">
        <v>153</v>
      </c>
      <c r="E15" s="88">
        <v>46</v>
      </c>
      <c r="F15" s="88">
        <v>28</v>
      </c>
      <c r="G15" s="27">
        <f t="shared" si="11"/>
        <v>74</v>
      </c>
      <c r="H15" s="29">
        <f t="shared" si="0"/>
        <v>74</v>
      </c>
      <c r="I15" s="28" t="str">
        <f t="shared" si="12"/>
        <v>FCD</v>
      </c>
      <c r="J15" s="88">
        <v>50</v>
      </c>
      <c r="K15" s="88">
        <v>28</v>
      </c>
      <c r="L15" s="243">
        <f t="shared" si="1"/>
        <v>78</v>
      </c>
      <c r="M15" s="28">
        <f t="shared" si="2"/>
        <v>78</v>
      </c>
      <c r="N15" s="39" t="str">
        <f t="shared" si="13"/>
        <v>FCD</v>
      </c>
      <c r="O15" s="88">
        <v>47</v>
      </c>
      <c r="P15" s="88">
        <v>24</v>
      </c>
      <c r="Q15" s="247">
        <f t="shared" si="3"/>
        <v>71</v>
      </c>
      <c r="R15" s="28">
        <f t="shared" si="4"/>
        <v>71</v>
      </c>
      <c r="S15" s="25" t="str">
        <f t="shared" si="14"/>
        <v>FCD</v>
      </c>
      <c r="T15" s="88">
        <v>97</v>
      </c>
      <c r="U15" s="88">
        <v>92</v>
      </c>
      <c r="V15" s="247">
        <f t="shared" si="5"/>
        <v>189</v>
      </c>
      <c r="W15" s="30">
        <f t="shared" si="15"/>
        <v>94.5</v>
      </c>
      <c r="X15" s="25" t="str">
        <f t="shared" si="16"/>
        <v>FCD</v>
      </c>
      <c r="Y15" s="88">
        <v>49</v>
      </c>
      <c r="Z15" s="88">
        <v>36</v>
      </c>
      <c r="AA15" s="252">
        <f t="shared" si="6"/>
        <v>85</v>
      </c>
      <c r="AB15" s="25">
        <f t="shared" si="7"/>
        <v>85</v>
      </c>
      <c r="AC15" s="23" t="str">
        <f t="shared" si="17"/>
        <v>FCD</v>
      </c>
      <c r="AD15" s="88">
        <v>48</v>
      </c>
      <c r="AE15" s="88">
        <v>24</v>
      </c>
      <c r="AF15" s="257">
        <f t="shared" si="8"/>
        <v>72</v>
      </c>
      <c r="AG15" s="25">
        <f t="shared" si="9"/>
        <v>72</v>
      </c>
      <c r="AH15" s="25" t="str">
        <f t="shared" si="10"/>
        <v>FCD</v>
      </c>
      <c r="AI15" s="257">
        <f t="shared" si="18"/>
        <v>569</v>
      </c>
      <c r="AJ15" s="261">
        <f t="shared" si="19"/>
        <v>81.285714285714278</v>
      </c>
      <c r="AK15" s="262" t="str">
        <f t="shared" si="20"/>
        <v>FCD</v>
      </c>
      <c r="AL15" s="24"/>
      <c r="AM15" s="1"/>
      <c r="AN15" s="1"/>
      <c r="AO15" s="1"/>
      <c r="AP15" s="1"/>
      <c r="AQ15" s="1"/>
      <c r="AR15" s="1"/>
      <c r="AS15" s="4"/>
      <c r="AT15" s="4"/>
    </row>
    <row r="16" spans="1:46" s="13" customFormat="1" ht="15.95" hidden="1" customHeight="1" x14ac:dyDescent="0.25">
      <c r="A16" s="83">
        <v>6</v>
      </c>
      <c r="B16" s="86" t="s">
        <v>56</v>
      </c>
      <c r="C16" s="276" t="s">
        <v>13</v>
      </c>
      <c r="D16" s="87" t="s">
        <v>154</v>
      </c>
      <c r="E16" s="88">
        <v>46</v>
      </c>
      <c r="F16" s="88">
        <v>34</v>
      </c>
      <c r="G16" s="27">
        <f t="shared" si="11"/>
        <v>80</v>
      </c>
      <c r="H16" s="29">
        <f t="shared" si="0"/>
        <v>80</v>
      </c>
      <c r="I16" s="28" t="str">
        <f t="shared" si="12"/>
        <v>FCD</v>
      </c>
      <c r="J16" s="88">
        <v>50</v>
      </c>
      <c r="K16" s="88">
        <v>29</v>
      </c>
      <c r="L16" s="243">
        <f t="shared" si="1"/>
        <v>79</v>
      </c>
      <c r="M16" s="28">
        <f t="shared" si="2"/>
        <v>79</v>
      </c>
      <c r="N16" s="39" t="str">
        <f t="shared" si="13"/>
        <v>FCD</v>
      </c>
      <c r="O16" s="88">
        <v>39</v>
      </c>
      <c r="P16" s="88">
        <v>28</v>
      </c>
      <c r="Q16" s="247">
        <f t="shared" si="3"/>
        <v>67</v>
      </c>
      <c r="R16" s="28">
        <f t="shared" si="4"/>
        <v>67</v>
      </c>
      <c r="S16" s="25" t="str">
        <f t="shared" si="14"/>
        <v>FC</v>
      </c>
      <c r="T16" s="88">
        <v>94</v>
      </c>
      <c r="U16" s="88">
        <v>80</v>
      </c>
      <c r="V16" s="247">
        <f t="shared" si="5"/>
        <v>174</v>
      </c>
      <c r="W16" s="30">
        <f t="shared" si="15"/>
        <v>87</v>
      </c>
      <c r="X16" s="25" t="str">
        <f t="shared" si="16"/>
        <v>FCD</v>
      </c>
      <c r="Y16" s="88">
        <v>50</v>
      </c>
      <c r="Z16" s="88">
        <v>42</v>
      </c>
      <c r="AA16" s="252">
        <f t="shared" si="6"/>
        <v>92</v>
      </c>
      <c r="AB16" s="25">
        <f t="shared" si="7"/>
        <v>92</v>
      </c>
      <c r="AC16" s="23" t="str">
        <f t="shared" si="17"/>
        <v>FCD</v>
      </c>
      <c r="AD16" s="88">
        <v>48</v>
      </c>
      <c r="AE16" s="88">
        <v>35</v>
      </c>
      <c r="AF16" s="257">
        <f t="shared" si="8"/>
        <v>83</v>
      </c>
      <c r="AG16" s="25">
        <f t="shared" si="9"/>
        <v>83</v>
      </c>
      <c r="AH16" s="25" t="str">
        <f t="shared" si="10"/>
        <v>FCD</v>
      </c>
      <c r="AI16" s="257">
        <f t="shared" si="18"/>
        <v>575</v>
      </c>
      <c r="AJ16" s="261">
        <f t="shared" si="19"/>
        <v>82.142857142857139</v>
      </c>
      <c r="AK16" s="262" t="str">
        <f t="shared" si="20"/>
        <v>FCD</v>
      </c>
      <c r="AL16" s="134"/>
      <c r="AS16" s="12"/>
      <c r="AT16" s="12"/>
    </row>
    <row r="17" spans="1:46" s="13" customFormat="1" ht="15.95" hidden="1" customHeight="1" x14ac:dyDescent="0.25">
      <c r="A17" s="83">
        <v>7</v>
      </c>
      <c r="B17" s="86" t="s">
        <v>57</v>
      </c>
      <c r="C17" s="276" t="s">
        <v>13</v>
      </c>
      <c r="D17" s="87" t="s">
        <v>155</v>
      </c>
      <c r="E17" s="88">
        <v>47</v>
      </c>
      <c r="F17" s="88">
        <v>30</v>
      </c>
      <c r="G17" s="27">
        <f t="shared" si="11"/>
        <v>77</v>
      </c>
      <c r="H17" s="29">
        <f t="shared" si="0"/>
        <v>77</v>
      </c>
      <c r="I17" s="28" t="str">
        <f t="shared" si="12"/>
        <v>FCD</v>
      </c>
      <c r="J17" s="88">
        <v>50</v>
      </c>
      <c r="K17" s="88">
        <v>28</v>
      </c>
      <c r="L17" s="243">
        <f t="shared" si="1"/>
        <v>78</v>
      </c>
      <c r="M17" s="28">
        <f t="shared" si="2"/>
        <v>78</v>
      </c>
      <c r="N17" s="39" t="str">
        <f t="shared" si="13"/>
        <v>FCD</v>
      </c>
      <c r="O17" s="88">
        <v>49</v>
      </c>
      <c r="P17" s="88">
        <v>42</v>
      </c>
      <c r="Q17" s="247">
        <f t="shared" si="3"/>
        <v>91</v>
      </c>
      <c r="R17" s="28">
        <f t="shared" si="4"/>
        <v>91</v>
      </c>
      <c r="S17" s="25" t="str">
        <f t="shared" si="14"/>
        <v>FCD</v>
      </c>
      <c r="T17" s="88">
        <v>84</v>
      </c>
      <c r="U17" s="88">
        <v>90</v>
      </c>
      <c r="V17" s="247">
        <f t="shared" si="5"/>
        <v>174</v>
      </c>
      <c r="W17" s="30">
        <f t="shared" si="15"/>
        <v>87</v>
      </c>
      <c r="X17" s="25" t="str">
        <f t="shared" si="16"/>
        <v>FCD</v>
      </c>
      <c r="Y17" s="88">
        <v>49</v>
      </c>
      <c r="Z17" s="88">
        <v>39</v>
      </c>
      <c r="AA17" s="252">
        <f t="shared" si="6"/>
        <v>88</v>
      </c>
      <c r="AB17" s="25">
        <f t="shared" si="7"/>
        <v>88</v>
      </c>
      <c r="AC17" s="23" t="str">
        <f t="shared" si="17"/>
        <v>FCD</v>
      </c>
      <c r="AD17" s="88">
        <v>47</v>
      </c>
      <c r="AE17" s="88">
        <v>36</v>
      </c>
      <c r="AF17" s="257">
        <f t="shared" si="8"/>
        <v>83</v>
      </c>
      <c r="AG17" s="25">
        <f t="shared" si="9"/>
        <v>83</v>
      </c>
      <c r="AH17" s="25" t="str">
        <f t="shared" si="10"/>
        <v>FCD</v>
      </c>
      <c r="AI17" s="257">
        <f t="shared" si="18"/>
        <v>591</v>
      </c>
      <c r="AJ17" s="261">
        <f t="shared" si="19"/>
        <v>84.428571428571431</v>
      </c>
      <c r="AK17" s="262" t="str">
        <f t="shared" si="20"/>
        <v>FCD</v>
      </c>
      <c r="AL17" s="134"/>
      <c r="AS17" s="12"/>
      <c r="AT17" s="12"/>
    </row>
    <row r="18" spans="1:46" ht="15.95" customHeight="1" x14ac:dyDescent="0.25">
      <c r="A18" s="83">
        <v>8</v>
      </c>
      <c r="B18" s="86" t="s">
        <v>58</v>
      </c>
      <c r="C18" s="276" t="s">
        <v>15</v>
      </c>
      <c r="D18" s="87" t="s">
        <v>156</v>
      </c>
      <c r="E18" s="88">
        <v>45</v>
      </c>
      <c r="F18" s="88">
        <v>32</v>
      </c>
      <c r="G18" s="27">
        <f t="shared" si="11"/>
        <v>77</v>
      </c>
      <c r="H18" s="29">
        <f t="shared" si="0"/>
        <v>77</v>
      </c>
      <c r="I18" s="28" t="str">
        <f t="shared" si="12"/>
        <v>FCD</v>
      </c>
      <c r="J18" s="88">
        <v>49</v>
      </c>
      <c r="K18" s="88">
        <v>24</v>
      </c>
      <c r="L18" s="243">
        <f t="shared" si="1"/>
        <v>73</v>
      </c>
      <c r="M18" s="28">
        <f t="shared" si="2"/>
        <v>73</v>
      </c>
      <c r="N18" s="39" t="str">
        <f t="shared" si="13"/>
        <v>FCD</v>
      </c>
      <c r="O18" s="88">
        <v>45</v>
      </c>
      <c r="P18" s="88">
        <v>25</v>
      </c>
      <c r="Q18" s="247">
        <f t="shared" si="3"/>
        <v>70</v>
      </c>
      <c r="R18" s="28">
        <f t="shared" si="4"/>
        <v>70</v>
      </c>
      <c r="S18" s="25" t="str">
        <f t="shared" si="14"/>
        <v>FCD</v>
      </c>
      <c r="T18" s="88">
        <v>92</v>
      </c>
      <c r="U18" s="88">
        <v>92</v>
      </c>
      <c r="V18" s="247">
        <f t="shared" si="5"/>
        <v>184</v>
      </c>
      <c r="W18" s="30">
        <f t="shared" si="15"/>
        <v>92</v>
      </c>
      <c r="X18" s="25" t="str">
        <f t="shared" si="16"/>
        <v>FCD</v>
      </c>
      <c r="Y18" s="88">
        <v>47</v>
      </c>
      <c r="Z18" s="88">
        <v>36</v>
      </c>
      <c r="AA18" s="252">
        <f t="shared" si="6"/>
        <v>83</v>
      </c>
      <c r="AB18" s="25">
        <f t="shared" si="7"/>
        <v>83</v>
      </c>
      <c r="AC18" s="23" t="str">
        <f t="shared" si="17"/>
        <v>FCD</v>
      </c>
      <c r="AD18" s="88">
        <v>44</v>
      </c>
      <c r="AE18" s="88">
        <v>26</v>
      </c>
      <c r="AF18" s="257">
        <f t="shared" si="8"/>
        <v>70</v>
      </c>
      <c r="AG18" s="25">
        <f t="shared" si="9"/>
        <v>70</v>
      </c>
      <c r="AH18" s="25" t="str">
        <f t="shared" si="10"/>
        <v>FCD</v>
      </c>
      <c r="AI18" s="257">
        <f t="shared" si="18"/>
        <v>557</v>
      </c>
      <c r="AJ18" s="261">
        <f t="shared" si="19"/>
        <v>79.571428571428569</v>
      </c>
      <c r="AK18" s="262" t="str">
        <f t="shared" si="20"/>
        <v>FCD</v>
      </c>
      <c r="AL18" s="24"/>
      <c r="AM18" s="1"/>
      <c r="AN18" s="1"/>
      <c r="AO18" s="1"/>
      <c r="AP18" s="1"/>
      <c r="AQ18" s="1"/>
      <c r="AR18" s="1"/>
      <c r="AS18" s="4"/>
      <c r="AT18" s="1"/>
    </row>
    <row r="19" spans="1:46" s="13" customFormat="1" ht="15.95" hidden="1" customHeight="1" x14ac:dyDescent="0.25">
      <c r="A19" s="83">
        <v>9</v>
      </c>
      <c r="B19" s="86" t="s">
        <v>59</v>
      </c>
      <c r="C19" s="276" t="s">
        <v>13</v>
      </c>
      <c r="D19" s="87" t="s">
        <v>157</v>
      </c>
      <c r="E19" s="88">
        <v>48</v>
      </c>
      <c r="F19" s="88">
        <v>38</v>
      </c>
      <c r="G19" s="27">
        <f t="shared" si="11"/>
        <v>86</v>
      </c>
      <c r="H19" s="29">
        <f t="shared" si="0"/>
        <v>86</v>
      </c>
      <c r="I19" s="28" t="str">
        <f t="shared" si="12"/>
        <v>FCD</v>
      </c>
      <c r="J19" s="88">
        <v>48</v>
      </c>
      <c r="K19" s="88">
        <v>34</v>
      </c>
      <c r="L19" s="243">
        <f t="shared" si="1"/>
        <v>82</v>
      </c>
      <c r="M19" s="28">
        <f t="shared" si="2"/>
        <v>82</v>
      </c>
      <c r="N19" s="39" t="str">
        <f t="shared" si="13"/>
        <v>FCD</v>
      </c>
      <c r="O19" s="88">
        <v>49</v>
      </c>
      <c r="P19" s="88">
        <v>32</v>
      </c>
      <c r="Q19" s="247">
        <f t="shared" si="3"/>
        <v>81</v>
      </c>
      <c r="R19" s="28">
        <f t="shared" si="4"/>
        <v>81</v>
      </c>
      <c r="S19" s="25" t="str">
        <f t="shared" si="14"/>
        <v>FCD</v>
      </c>
      <c r="T19" s="88">
        <v>93</v>
      </c>
      <c r="U19" s="88">
        <v>94</v>
      </c>
      <c r="V19" s="247">
        <f t="shared" si="5"/>
        <v>187</v>
      </c>
      <c r="W19" s="30">
        <f t="shared" si="15"/>
        <v>93.5</v>
      </c>
      <c r="X19" s="25" t="str">
        <f t="shared" si="16"/>
        <v>FCD</v>
      </c>
      <c r="Y19" s="88">
        <v>50</v>
      </c>
      <c r="Z19" s="88">
        <v>39</v>
      </c>
      <c r="AA19" s="252">
        <f t="shared" si="6"/>
        <v>89</v>
      </c>
      <c r="AB19" s="25">
        <f t="shared" si="7"/>
        <v>89</v>
      </c>
      <c r="AC19" s="23" t="str">
        <f t="shared" si="17"/>
        <v>FCD</v>
      </c>
      <c r="AD19" s="88">
        <v>49</v>
      </c>
      <c r="AE19" s="88">
        <v>23</v>
      </c>
      <c r="AF19" s="257">
        <f t="shared" si="8"/>
        <v>72</v>
      </c>
      <c r="AG19" s="25">
        <f t="shared" si="9"/>
        <v>72</v>
      </c>
      <c r="AH19" s="25" t="str">
        <f t="shared" si="10"/>
        <v>FCD</v>
      </c>
      <c r="AI19" s="257">
        <f t="shared" si="18"/>
        <v>597</v>
      </c>
      <c r="AJ19" s="261">
        <f t="shared" si="19"/>
        <v>85.285714285714292</v>
      </c>
      <c r="AK19" s="262" t="str">
        <f t="shared" si="20"/>
        <v>FCD</v>
      </c>
      <c r="AL19" s="134"/>
      <c r="AS19" s="12"/>
    </row>
    <row r="20" spans="1:46" ht="15.95" hidden="1" customHeight="1" x14ac:dyDescent="0.25">
      <c r="A20" s="83">
        <v>10</v>
      </c>
      <c r="B20" s="86" t="s">
        <v>60</v>
      </c>
      <c r="C20" s="276" t="s">
        <v>15</v>
      </c>
      <c r="D20" s="87" t="s">
        <v>158</v>
      </c>
      <c r="E20" s="88">
        <v>43</v>
      </c>
      <c r="F20" s="88">
        <v>30</v>
      </c>
      <c r="G20" s="27">
        <f t="shared" si="11"/>
        <v>73</v>
      </c>
      <c r="H20" s="29">
        <f t="shared" si="0"/>
        <v>73</v>
      </c>
      <c r="I20" s="28" t="str">
        <f t="shared" si="12"/>
        <v>FCD</v>
      </c>
      <c r="J20" s="88">
        <v>43</v>
      </c>
      <c r="K20" s="88">
        <v>22</v>
      </c>
      <c r="L20" s="243">
        <f t="shared" si="1"/>
        <v>65</v>
      </c>
      <c r="M20" s="28">
        <f t="shared" si="2"/>
        <v>65</v>
      </c>
      <c r="N20" s="39" t="str">
        <f t="shared" si="13"/>
        <v>FC</v>
      </c>
      <c r="O20" s="88">
        <v>39</v>
      </c>
      <c r="P20" s="88">
        <v>19</v>
      </c>
      <c r="Q20" s="247">
        <f t="shared" si="3"/>
        <v>58</v>
      </c>
      <c r="R20" s="28">
        <f t="shared" si="4"/>
        <v>58</v>
      </c>
      <c r="S20" s="25" t="str">
        <f t="shared" si="14"/>
        <v>SC</v>
      </c>
      <c r="T20" s="88">
        <v>95</v>
      </c>
      <c r="U20" s="88">
        <v>92</v>
      </c>
      <c r="V20" s="247">
        <f t="shared" si="5"/>
        <v>187</v>
      </c>
      <c r="W20" s="30">
        <f t="shared" si="15"/>
        <v>93.5</v>
      </c>
      <c r="X20" s="25" t="str">
        <f t="shared" si="16"/>
        <v>FCD</v>
      </c>
      <c r="Y20" s="88">
        <v>43</v>
      </c>
      <c r="Z20" s="88">
        <v>31</v>
      </c>
      <c r="AA20" s="252">
        <f t="shared" si="6"/>
        <v>74</v>
      </c>
      <c r="AB20" s="25">
        <f t="shared" si="7"/>
        <v>74</v>
      </c>
      <c r="AC20" s="23" t="str">
        <f t="shared" si="17"/>
        <v>FCD</v>
      </c>
      <c r="AD20" s="88">
        <v>40</v>
      </c>
      <c r="AE20" s="88">
        <v>28</v>
      </c>
      <c r="AF20" s="257">
        <f t="shared" si="8"/>
        <v>68</v>
      </c>
      <c r="AG20" s="25">
        <f t="shared" si="9"/>
        <v>68</v>
      </c>
      <c r="AH20" s="25" t="str">
        <f t="shared" si="10"/>
        <v>FC</v>
      </c>
      <c r="AI20" s="257">
        <f t="shared" si="18"/>
        <v>525</v>
      </c>
      <c r="AJ20" s="261">
        <f t="shared" si="19"/>
        <v>75</v>
      </c>
      <c r="AK20" s="262" t="str">
        <f t="shared" si="20"/>
        <v>FCD</v>
      </c>
      <c r="AL20" s="24"/>
      <c r="AM20" s="1"/>
      <c r="AN20" s="1"/>
      <c r="AO20" s="1"/>
      <c r="AP20" s="1"/>
      <c r="AQ20" s="1"/>
      <c r="AR20" s="1"/>
      <c r="AS20" s="4"/>
      <c r="AT20" s="1"/>
    </row>
    <row r="21" spans="1:46" ht="15.95" customHeight="1" x14ac:dyDescent="0.25">
      <c r="A21" s="83">
        <v>11</v>
      </c>
      <c r="B21" s="86" t="s">
        <v>61</v>
      </c>
      <c r="C21" s="276" t="s">
        <v>15</v>
      </c>
      <c r="D21" s="87" t="s">
        <v>159</v>
      </c>
      <c r="E21" s="88">
        <v>44</v>
      </c>
      <c r="F21" s="88">
        <v>23</v>
      </c>
      <c r="G21" s="27">
        <f t="shared" si="11"/>
        <v>67</v>
      </c>
      <c r="H21" s="29">
        <f t="shared" si="0"/>
        <v>67</v>
      </c>
      <c r="I21" s="28" t="str">
        <f t="shared" si="12"/>
        <v>FC</v>
      </c>
      <c r="J21" s="88">
        <v>48</v>
      </c>
      <c r="K21" s="88">
        <v>30</v>
      </c>
      <c r="L21" s="243">
        <f t="shared" si="1"/>
        <v>78</v>
      </c>
      <c r="M21" s="28">
        <f t="shared" si="2"/>
        <v>78</v>
      </c>
      <c r="N21" s="39" t="str">
        <f t="shared" si="13"/>
        <v>FCD</v>
      </c>
      <c r="O21" s="88">
        <v>43</v>
      </c>
      <c r="P21" s="88">
        <v>25</v>
      </c>
      <c r="Q21" s="247">
        <f t="shared" si="3"/>
        <v>68</v>
      </c>
      <c r="R21" s="28">
        <f t="shared" si="4"/>
        <v>68</v>
      </c>
      <c r="S21" s="25" t="str">
        <f t="shared" si="14"/>
        <v>FC</v>
      </c>
      <c r="T21" s="88">
        <v>94</v>
      </c>
      <c r="U21" s="88">
        <v>85</v>
      </c>
      <c r="V21" s="247">
        <f t="shared" si="5"/>
        <v>179</v>
      </c>
      <c r="W21" s="30">
        <f t="shared" si="15"/>
        <v>89.5</v>
      </c>
      <c r="X21" s="25" t="str">
        <f t="shared" si="16"/>
        <v>FCD</v>
      </c>
      <c r="Y21" s="88">
        <v>45</v>
      </c>
      <c r="Z21" s="88">
        <v>33</v>
      </c>
      <c r="AA21" s="252">
        <f t="shared" si="6"/>
        <v>78</v>
      </c>
      <c r="AB21" s="25">
        <f t="shared" si="7"/>
        <v>78</v>
      </c>
      <c r="AC21" s="23" t="str">
        <f t="shared" si="17"/>
        <v>FCD</v>
      </c>
      <c r="AD21" s="88">
        <v>44</v>
      </c>
      <c r="AE21" s="88">
        <v>28</v>
      </c>
      <c r="AF21" s="257">
        <f t="shared" si="8"/>
        <v>72</v>
      </c>
      <c r="AG21" s="25">
        <f t="shared" si="9"/>
        <v>72</v>
      </c>
      <c r="AH21" s="25" t="str">
        <f t="shared" si="10"/>
        <v>FCD</v>
      </c>
      <c r="AI21" s="257">
        <f t="shared" si="18"/>
        <v>542</v>
      </c>
      <c r="AJ21" s="261">
        <f t="shared" si="19"/>
        <v>77.428571428571431</v>
      </c>
      <c r="AK21" s="262" t="str">
        <f t="shared" si="20"/>
        <v>FCD</v>
      </c>
      <c r="AL21" s="26"/>
      <c r="AS21" s="4"/>
    </row>
    <row r="22" spans="1:46" s="13" customFormat="1" ht="15.95" hidden="1" customHeight="1" x14ac:dyDescent="0.25">
      <c r="A22" s="83">
        <v>12</v>
      </c>
      <c r="B22" s="86" t="s">
        <v>62</v>
      </c>
      <c r="C22" s="276" t="s">
        <v>13</v>
      </c>
      <c r="D22" s="87" t="s">
        <v>160</v>
      </c>
      <c r="E22" s="88">
        <v>48</v>
      </c>
      <c r="F22" s="88">
        <v>36</v>
      </c>
      <c r="G22" s="27">
        <f t="shared" si="11"/>
        <v>84</v>
      </c>
      <c r="H22" s="29">
        <f t="shared" si="0"/>
        <v>84</v>
      </c>
      <c r="I22" s="28" t="str">
        <f t="shared" si="12"/>
        <v>FCD</v>
      </c>
      <c r="J22" s="88">
        <v>50</v>
      </c>
      <c r="K22" s="88">
        <v>28</v>
      </c>
      <c r="L22" s="243">
        <f t="shared" si="1"/>
        <v>78</v>
      </c>
      <c r="M22" s="28">
        <f t="shared" si="2"/>
        <v>78</v>
      </c>
      <c r="N22" s="39" t="str">
        <f t="shared" si="13"/>
        <v>FCD</v>
      </c>
      <c r="O22" s="88">
        <v>50</v>
      </c>
      <c r="P22" s="88">
        <v>30</v>
      </c>
      <c r="Q22" s="247">
        <f t="shared" si="3"/>
        <v>80</v>
      </c>
      <c r="R22" s="28">
        <f t="shared" si="4"/>
        <v>80</v>
      </c>
      <c r="S22" s="25" t="str">
        <f t="shared" si="14"/>
        <v>FCD</v>
      </c>
      <c r="T22" s="88">
        <v>96</v>
      </c>
      <c r="U22" s="88">
        <v>92</v>
      </c>
      <c r="V22" s="247">
        <f t="shared" si="5"/>
        <v>188</v>
      </c>
      <c r="W22" s="30">
        <f t="shared" si="15"/>
        <v>94</v>
      </c>
      <c r="X22" s="25" t="str">
        <f t="shared" si="16"/>
        <v>FCD</v>
      </c>
      <c r="Y22" s="88">
        <v>50</v>
      </c>
      <c r="Z22" s="88">
        <v>38</v>
      </c>
      <c r="AA22" s="254">
        <v>88</v>
      </c>
      <c r="AB22" s="25">
        <f t="shared" si="7"/>
        <v>88</v>
      </c>
      <c r="AC22" s="23" t="str">
        <f t="shared" si="17"/>
        <v>FCD</v>
      </c>
      <c r="AD22" s="88">
        <v>49</v>
      </c>
      <c r="AE22" s="88">
        <v>34</v>
      </c>
      <c r="AF22" s="257">
        <f t="shared" si="8"/>
        <v>83</v>
      </c>
      <c r="AG22" s="25">
        <f t="shared" si="9"/>
        <v>83</v>
      </c>
      <c r="AH22" s="25" t="str">
        <f t="shared" si="10"/>
        <v>FCD</v>
      </c>
      <c r="AI22" s="257">
        <f t="shared" si="18"/>
        <v>601</v>
      </c>
      <c r="AJ22" s="261">
        <f t="shared" si="19"/>
        <v>85.857142857142861</v>
      </c>
      <c r="AK22" s="262" t="str">
        <f t="shared" si="20"/>
        <v>FCD</v>
      </c>
      <c r="AL22" s="135"/>
      <c r="AM22" s="11"/>
      <c r="AN22" s="11"/>
      <c r="AO22" s="11"/>
      <c r="AP22" s="11"/>
      <c r="AQ22" s="11"/>
      <c r="AR22" s="11"/>
      <c r="AS22" s="12"/>
      <c r="AT22" s="11"/>
    </row>
    <row r="23" spans="1:46" s="13" customFormat="1" ht="15.95" hidden="1" customHeight="1" x14ac:dyDescent="0.25">
      <c r="A23" s="83">
        <v>13</v>
      </c>
      <c r="B23" s="86" t="s">
        <v>63</v>
      </c>
      <c r="C23" s="276" t="s">
        <v>13</v>
      </c>
      <c r="D23" s="87" t="s">
        <v>161</v>
      </c>
      <c r="E23" s="88">
        <v>47</v>
      </c>
      <c r="F23" s="88">
        <v>29</v>
      </c>
      <c r="G23" s="27">
        <f t="shared" si="11"/>
        <v>76</v>
      </c>
      <c r="H23" s="29">
        <f t="shared" si="0"/>
        <v>76</v>
      </c>
      <c r="I23" s="28" t="str">
        <f t="shared" si="12"/>
        <v>FCD</v>
      </c>
      <c r="J23" s="88">
        <v>50</v>
      </c>
      <c r="K23" s="88">
        <v>21</v>
      </c>
      <c r="L23" s="243">
        <f t="shared" si="1"/>
        <v>71</v>
      </c>
      <c r="M23" s="28">
        <f t="shared" si="2"/>
        <v>71</v>
      </c>
      <c r="N23" s="39" t="str">
        <f t="shared" si="13"/>
        <v>FCD</v>
      </c>
      <c r="O23" s="88">
        <v>50</v>
      </c>
      <c r="P23" s="88">
        <v>27</v>
      </c>
      <c r="Q23" s="247">
        <f t="shared" si="3"/>
        <v>77</v>
      </c>
      <c r="R23" s="28">
        <f t="shared" si="4"/>
        <v>77</v>
      </c>
      <c r="S23" s="25" t="str">
        <f t="shared" si="14"/>
        <v>FCD</v>
      </c>
      <c r="T23" s="88">
        <v>96</v>
      </c>
      <c r="U23" s="88">
        <v>97</v>
      </c>
      <c r="V23" s="247">
        <f t="shared" si="5"/>
        <v>193</v>
      </c>
      <c r="W23" s="30">
        <f t="shared" si="15"/>
        <v>96.5</v>
      </c>
      <c r="X23" s="25" t="str">
        <f t="shared" si="16"/>
        <v>FCD</v>
      </c>
      <c r="Y23" s="88">
        <v>49</v>
      </c>
      <c r="Z23" s="88">
        <v>35</v>
      </c>
      <c r="AA23" s="252">
        <f t="shared" si="6"/>
        <v>84</v>
      </c>
      <c r="AB23" s="25">
        <f t="shared" si="7"/>
        <v>84</v>
      </c>
      <c r="AC23" s="23" t="str">
        <f t="shared" si="17"/>
        <v>FCD</v>
      </c>
      <c r="AD23" s="88">
        <v>49</v>
      </c>
      <c r="AE23" s="88">
        <v>29</v>
      </c>
      <c r="AF23" s="257">
        <f t="shared" si="8"/>
        <v>78</v>
      </c>
      <c r="AG23" s="25">
        <f t="shared" si="9"/>
        <v>78</v>
      </c>
      <c r="AH23" s="25" t="str">
        <f t="shared" si="10"/>
        <v>FCD</v>
      </c>
      <c r="AI23" s="257">
        <f t="shared" si="18"/>
        <v>579</v>
      </c>
      <c r="AJ23" s="261">
        <f t="shared" si="19"/>
        <v>82.714285714285722</v>
      </c>
      <c r="AK23" s="262" t="str">
        <f t="shared" si="20"/>
        <v>FCD</v>
      </c>
      <c r="AL23" s="135"/>
      <c r="AM23" s="11"/>
      <c r="AN23" s="11"/>
      <c r="AO23" s="11"/>
      <c r="AP23" s="11"/>
      <c r="AQ23" s="11"/>
      <c r="AR23" s="11"/>
      <c r="AS23" s="12"/>
      <c r="AT23" s="11"/>
    </row>
    <row r="24" spans="1:46" s="13" customFormat="1" ht="15.95" hidden="1" customHeight="1" x14ac:dyDescent="0.25">
      <c r="A24" s="83">
        <v>14</v>
      </c>
      <c r="B24" s="86" t="s">
        <v>64</v>
      </c>
      <c r="C24" s="276" t="s">
        <v>13</v>
      </c>
      <c r="D24" s="87" t="s">
        <v>162</v>
      </c>
      <c r="E24" s="88">
        <v>47</v>
      </c>
      <c r="F24" s="88">
        <v>36</v>
      </c>
      <c r="G24" s="27">
        <f t="shared" si="11"/>
        <v>83</v>
      </c>
      <c r="H24" s="29">
        <f t="shared" si="0"/>
        <v>83</v>
      </c>
      <c r="I24" s="28" t="str">
        <f t="shared" si="12"/>
        <v>FCD</v>
      </c>
      <c r="J24" s="88">
        <v>50</v>
      </c>
      <c r="K24" s="88">
        <v>31</v>
      </c>
      <c r="L24" s="243">
        <f t="shared" si="1"/>
        <v>81</v>
      </c>
      <c r="M24" s="28">
        <f t="shared" si="2"/>
        <v>81</v>
      </c>
      <c r="N24" s="39" t="str">
        <f t="shared" si="13"/>
        <v>FCD</v>
      </c>
      <c r="O24" s="88">
        <v>50</v>
      </c>
      <c r="P24" s="88">
        <v>34</v>
      </c>
      <c r="Q24" s="247">
        <f t="shared" si="3"/>
        <v>84</v>
      </c>
      <c r="R24" s="28">
        <f t="shared" si="4"/>
        <v>84</v>
      </c>
      <c r="S24" s="25" t="str">
        <f t="shared" si="14"/>
        <v>FCD</v>
      </c>
      <c r="T24" s="88">
        <v>93</v>
      </c>
      <c r="U24" s="88">
        <v>97</v>
      </c>
      <c r="V24" s="247">
        <f t="shared" si="5"/>
        <v>190</v>
      </c>
      <c r="W24" s="30">
        <f t="shared" si="15"/>
        <v>95</v>
      </c>
      <c r="X24" s="25" t="str">
        <f t="shared" si="16"/>
        <v>FCD</v>
      </c>
      <c r="Y24" s="88">
        <v>50</v>
      </c>
      <c r="Z24" s="88">
        <v>37</v>
      </c>
      <c r="AA24" s="252">
        <f t="shared" si="6"/>
        <v>87</v>
      </c>
      <c r="AB24" s="25">
        <f t="shared" si="7"/>
        <v>87</v>
      </c>
      <c r="AC24" s="23" t="str">
        <f t="shared" si="17"/>
        <v>FCD</v>
      </c>
      <c r="AD24" s="88">
        <v>48</v>
      </c>
      <c r="AE24" s="88">
        <v>23</v>
      </c>
      <c r="AF24" s="257">
        <f t="shared" si="8"/>
        <v>71</v>
      </c>
      <c r="AG24" s="25">
        <f t="shared" si="9"/>
        <v>71</v>
      </c>
      <c r="AH24" s="25" t="str">
        <f t="shared" si="10"/>
        <v>FCD</v>
      </c>
      <c r="AI24" s="257">
        <f t="shared" si="18"/>
        <v>596</v>
      </c>
      <c r="AJ24" s="261">
        <f t="shared" si="19"/>
        <v>85.142857142857139</v>
      </c>
      <c r="AK24" s="262" t="str">
        <f t="shared" si="20"/>
        <v>FCD</v>
      </c>
      <c r="AL24" s="134"/>
      <c r="AS24" s="12"/>
    </row>
    <row r="25" spans="1:46" ht="15.95" customHeight="1" x14ac:dyDescent="0.25">
      <c r="A25" s="83">
        <v>15</v>
      </c>
      <c r="B25" s="86" t="s">
        <v>65</v>
      </c>
      <c r="C25" s="276" t="s">
        <v>15</v>
      </c>
      <c r="D25" s="87" t="s">
        <v>163</v>
      </c>
      <c r="E25" s="88">
        <v>46</v>
      </c>
      <c r="F25" s="88">
        <v>34</v>
      </c>
      <c r="G25" s="27">
        <f t="shared" si="11"/>
        <v>80</v>
      </c>
      <c r="H25" s="29">
        <f t="shared" si="0"/>
        <v>80</v>
      </c>
      <c r="I25" s="28" t="str">
        <f t="shared" si="12"/>
        <v>FCD</v>
      </c>
      <c r="J25" s="88">
        <v>50</v>
      </c>
      <c r="K25" s="88">
        <v>29</v>
      </c>
      <c r="L25" s="243">
        <f t="shared" si="1"/>
        <v>79</v>
      </c>
      <c r="M25" s="28">
        <f t="shared" si="2"/>
        <v>79</v>
      </c>
      <c r="N25" s="39" t="str">
        <f t="shared" si="13"/>
        <v>FCD</v>
      </c>
      <c r="O25" s="88">
        <v>50</v>
      </c>
      <c r="P25" s="88">
        <v>43</v>
      </c>
      <c r="Q25" s="247">
        <f t="shared" si="3"/>
        <v>93</v>
      </c>
      <c r="R25" s="28">
        <f t="shared" si="4"/>
        <v>93</v>
      </c>
      <c r="S25" s="25" t="str">
        <f t="shared" si="14"/>
        <v>FCD</v>
      </c>
      <c r="T25" s="88">
        <v>94</v>
      </c>
      <c r="U25" s="88">
        <v>92</v>
      </c>
      <c r="V25" s="247">
        <f t="shared" si="5"/>
        <v>186</v>
      </c>
      <c r="W25" s="30">
        <f t="shared" si="15"/>
        <v>93</v>
      </c>
      <c r="X25" s="25" t="str">
        <f t="shared" si="16"/>
        <v>FCD</v>
      </c>
      <c r="Y25" s="88">
        <v>49</v>
      </c>
      <c r="Z25" s="88">
        <v>45</v>
      </c>
      <c r="AA25" s="252">
        <f t="shared" si="6"/>
        <v>94</v>
      </c>
      <c r="AB25" s="25">
        <f t="shared" si="7"/>
        <v>94</v>
      </c>
      <c r="AC25" s="23" t="str">
        <f t="shared" si="17"/>
        <v>FCD</v>
      </c>
      <c r="AD25" s="88">
        <v>46</v>
      </c>
      <c r="AE25" s="88">
        <v>24</v>
      </c>
      <c r="AF25" s="257">
        <f t="shared" si="8"/>
        <v>70</v>
      </c>
      <c r="AG25" s="25">
        <f t="shared" si="9"/>
        <v>70</v>
      </c>
      <c r="AH25" s="25" t="str">
        <f t="shared" si="10"/>
        <v>FCD</v>
      </c>
      <c r="AI25" s="257">
        <f t="shared" si="18"/>
        <v>602</v>
      </c>
      <c r="AJ25" s="261">
        <f t="shared" si="19"/>
        <v>86</v>
      </c>
      <c r="AK25" s="262" t="str">
        <f t="shared" si="20"/>
        <v>FCD</v>
      </c>
      <c r="AL25" s="24"/>
      <c r="AM25" s="1"/>
      <c r="AN25" s="1"/>
      <c r="AO25" s="1"/>
      <c r="AP25" s="1"/>
      <c r="AQ25" s="1"/>
      <c r="AR25" s="1"/>
      <c r="AS25" s="1"/>
      <c r="AT25" s="1"/>
    </row>
    <row r="26" spans="1:46" s="13" customFormat="1" ht="15.95" hidden="1" customHeight="1" x14ac:dyDescent="0.25">
      <c r="A26" s="83">
        <v>16</v>
      </c>
      <c r="B26" s="86" t="s">
        <v>66</v>
      </c>
      <c r="C26" s="276" t="s">
        <v>13</v>
      </c>
      <c r="D26" s="87" t="s">
        <v>164</v>
      </c>
      <c r="E26" s="88">
        <v>46</v>
      </c>
      <c r="F26" s="88">
        <v>30</v>
      </c>
      <c r="G26" s="27">
        <f t="shared" si="11"/>
        <v>76</v>
      </c>
      <c r="H26" s="29">
        <f t="shared" si="0"/>
        <v>76</v>
      </c>
      <c r="I26" s="28" t="str">
        <f t="shared" si="12"/>
        <v>FCD</v>
      </c>
      <c r="J26" s="88">
        <v>49</v>
      </c>
      <c r="K26" s="88">
        <v>28</v>
      </c>
      <c r="L26" s="243">
        <f t="shared" si="1"/>
        <v>77</v>
      </c>
      <c r="M26" s="28">
        <f t="shared" si="2"/>
        <v>77</v>
      </c>
      <c r="N26" s="39" t="str">
        <f t="shared" si="13"/>
        <v>FCD</v>
      </c>
      <c r="O26" s="88">
        <v>50</v>
      </c>
      <c r="P26" s="88">
        <v>36</v>
      </c>
      <c r="Q26" s="247">
        <f t="shared" si="3"/>
        <v>86</v>
      </c>
      <c r="R26" s="28">
        <f t="shared" si="4"/>
        <v>86</v>
      </c>
      <c r="S26" s="25" t="str">
        <f t="shared" si="14"/>
        <v>FCD</v>
      </c>
      <c r="T26" s="88">
        <v>96</v>
      </c>
      <c r="U26" s="88">
        <v>95</v>
      </c>
      <c r="V26" s="247">
        <f t="shared" si="5"/>
        <v>191</v>
      </c>
      <c r="W26" s="30">
        <f t="shared" si="15"/>
        <v>95.5</v>
      </c>
      <c r="X26" s="25" t="str">
        <f t="shared" si="16"/>
        <v>FCD</v>
      </c>
      <c r="Y26" s="88">
        <v>50</v>
      </c>
      <c r="Z26" s="88">
        <v>41</v>
      </c>
      <c r="AA26" s="252">
        <f t="shared" si="6"/>
        <v>91</v>
      </c>
      <c r="AB26" s="25">
        <f t="shared" si="7"/>
        <v>91</v>
      </c>
      <c r="AC26" s="23" t="str">
        <f t="shared" si="17"/>
        <v>FCD</v>
      </c>
      <c r="AD26" s="88">
        <v>47</v>
      </c>
      <c r="AE26" s="88">
        <v>38</v>
      </c>
      <c r="AF26" s="257">
        <f t="shared" si="8"/>
        <v>85</v>
      </c>
      <c r="AG26" s="25">
        <f t="shared" si="9"/>
        <v>85</v>
      </c>
      <c r="AH26" s="25" t="str">
        <f t="shared" si="10"/>
        <v>FCD</v>
      </c>
      <c r="AI26" s="257">
        <f t="shared" si="18"/>
        <v>606</v>
      </c>
      <c r="AJ26" s="261">
        <f t="shared" si="19"/>
        <v>86.571428571428584</v>
      </c>
      <c r="AK26" s="262" t="str">
        <f t="shared" si="20"/>
        <v>FCD</v>
      </c>
      <c r="AL26" s="135"/>
      <c r="AM26" s="11"/>
      <c r="AN26" s="11"/>
      <c r="AO26" s="11"/>
      <c r="AP26" s="11"/>
      <c r="AQ26" s="11"/>
      <c r="AR26" s="11"/>
      <c r="AS26" s="11"/>
      <c r="AT26" s="11"/>
    </row>
    <row r="27" spans="1:46" ht="15.95" hidden="1" customHeight="1" x14ac:dyDescent="0.25">
      <c r="A27" s="83">
        <v>17</v>
      </c>
      <c r="B27" s="86" t="s">
        <v>67</v>
      </c>
      <c r="C27" s="278" t="s">
        <v>15</v>
      </c>
      <c r="D27" s="87" t="s">
        <v>165</v>
      </c>
      <c r="E27" s="88">
        <v>44</v>
      </c>
      <c r="F27" s="88">
        <v>27</v>
      </c>
      <c r="G27" s="27">
        <f t="shared" si="11"/>
        <v>71</v>
      </c>
      <c r="H27" s="29">
        <f t="shared" si="0"/>
        <v>71</v>
      </c>
      <c r="I27" s="28" t="str">
        <f t="shared" si="12"/>
        <v>FCD</v>
      </c>
      <c r="J27" s="88">
        <v>48</v>
      </c>
      <c r="K27" s="88">
        <v>28</v>
      </c>
      <c r="L27" s="243">
        <f t="shared" si="1"/>
        <v>76</v>
      </c>
      <c r="M27" s="28">
        <f t="shared" si="2"/>
        <v>76</v>
      </c>
      <c r="N27" s="39" t="str">
        <f t="shared" si="13"/>
        <v>FCD</v>
      </c>
      <c r="O27" s="88">
        <v>47</v>
      </c>
      <c r="P27" s="88">
        <v>26</v>
      </c>
      <c r="Q27" s="247">
        <f t="shared" si="3"/>
        <v>73</v>
      </c>
      <c r="R27" s="28">
        <f t="shared" si="4"/>
        <v>73</v>
      </c>
      <c r="S27" s="25" t="str">
        <f t="shared" si="14"/>
        <v>FCD</v>
      </c>
      <c r="T27" s="88">
        <v>93</v>
      </c>
      <c r="U27" s="88">
        <v>91</v>
      </c>
      <c r="V27" s="247">
        <f t="shared" si="5"/>
        <v>184</v>
      </c>
      <c r="W27" s="30">
        <f t="shared" si="15"/>
        <v>92</v>
      </c>
      <c r="X27" s="25" t="str">
        <f t="shared" si="16"/>
        <v>FCD</v>
      </c>
      <c r="Y27" s="88">
        <v>50</v>
      </c>
      <c r="Z27" s="88">
        <v>36</v>
      </c>
      <c r="AA27" s="252">
        <f t="shared" si="6"/>
        <v>86</v>
      </c>
      <c r="AB27" s="25">
        <f t="shared" si="7"/>
        <v>86</v>
      </c>
      <c r="AC27" s="23" t="str">
        <f t="shared" si="17"/>
        <v>FCD</v>
      </c>
      <c r="AD27" s="88">
        <v>43</v>
      </c>
      <c r="AE27" s="88">
        <v>26</v>
      </c>
      <c r="AF27" s="257">
        <f t="shared" si="8"/>
        <v>69</v>
      </c>
      <c r="AG27" s="25">
        <f t="shared" si="9"/>
        <v>69</v>
      </c>
      <c r="AH27" s="25" t="str">
        <f t="shared" si="10"/>
        <v>FC</v>
      </c>
      <c r="AI27" s="257">
        <f t="shared" si="18"/>
        <v>559</v>
      </c>
      <c r="AJ27" s="261">
        <f t="shared" si="19"/>
        <v>79.857142857142861</v>
      </c>
      <c r="AK27" s="262" t="str">
        <f t="shared" si="20"/>
        <v>FCD</v>
      </c>
      <c r="AL27" s="24"/>
      <c r="AM27" s="1"/>
      <c r="AN27" s="1"/>
      <c r="AO27" s="1"/>
      <c r="AP27" s="1"/>
      <c r="AQ27" s="1"/>
      <c r="AR27" s="1"/>
      <c r="AS27" s="1"/>
      <c r="AT27" s="1"/>
    </row>
    <row r="28" spans="1:46" ht="15.95" hidden="1" customHeight="1" x14ac:dyDescent="0.25">
      <c r="A28" s="83">
        <v>18</v>
      </c>
      <c r="B28" s="86" t="s">
        <v>68</v>
      </c>
      <c r="C28" s="276" t="s">
        <v>15</v>
      </c>
      <c r="D28" s="87" t="s">
        <v>166</v>
      </c>
      <c r="E28" s="88">
        <v>43</v>
      </c>
      <c r="F28" s="88">
        <v>31</v>
      </c>
      <c r="G28" s="27">
        <f t="shared" si="11"/>
        <v>74</v>
      </c>
      <c r="H28" s="29">
        <f t="shared" si="0"/>
        <v>74</v>
      </c>
      <c r="I28" s="28" t="str">
        <f t="shared" si="12"/>
        <v>FCD</v>
      </c>
      <c r="J28" s="88">
        <v>49</v>
      </c>
      <c r="K28" s="88">
        <v>27</v>
      </c>
      <c r="L28" s="243">
        <f t="shared" si="1"/>
        <v>76</v>
      </c>
      <c r="M28" s="28">
        <f t="shared" si="2"/>
        <v>76</v>
      </c>
      <c r="N28" s="39" t="str">
        <f t="shared" si="13"/>
        <v>FCD</v>
      </c>
      <c r="O28" s="88">
        <v>41</v>
      </c>
      <c r="P28" s="88">
        <v>19</v>
      </c>
      <c r="Q28" s="247">
        <f t="shared" si="3"/>
        <v>60</v>
      </c>
      <c r="R28" s="28">
        <f t="shared" si="4"/>
        <v>60</v>
      </c>
      <c r="S28" s="25" t="str">
        <f t="shared" si="14"/>
        <v>FC</v>
      </c>
      <c r="T28" s="88">
        <v>91</v>
      </c>
      <c r="U28" s="88">
        <v>82</v>
      </c>
      <c r="V28" s="247">
        <f t="shared" si="5"/>
        <v>173</v>
      </c>
      <c r="W28" s="30">
        <f t="shared" si="15"/>
        <v>86.5</v>
      </c>
      <c r="X28" s="25" t="str">
        <f t="shared" si="16"/>
        <v>FCD</v>
      </c>
      <c r="Y28" s="88">
        <v>48</v>
      </c>
      <c r="Z28" s="88">
        <v>33</v>
      </c>
      <c r="AA28" s="252">
        <f t="shared" si="6"/>
        <v>81</v>
      </c>
      <c r="AB28" s="25">
        <f t="shared" si="7"/>
        <v>81</v>
      </c>
      <c r="AC28" s="23" t="str">
        <f t="shared" si="17"/>
        <v>FCD</v>
      </c>
      <c r="AD28" s="88">
        <v>41</v>
      </c>
      <c r="AE28" s="88">
        <v>28</v>
      </c>
      <c r="AF28" s="257">
        <f t="shared" si="8"/>
        <v>69</v>
      </c>
      <c r="AG28" s="25">
        <f t="shared" si="9"/>
        <v>69</v>
      </c>
      <c r="AH28" s="25" t="str">
        <f t="shared" si="10"/>
        <v>FC</v>
      </c>
      <c r="AI28" s="257">
        <f t="shared" si="18"/>
        <v>533</v>
      </c>
      <c r="AJ28" s="261">
        <f t="shared" si="19"/>
        <v>76.142857142857139</v>
      </c>
      <c r="AK28" s="262" t="str">
        <f t="shared" si="20"/>
        <v>FCD</v>
      </c>
      <c r="AL28" s="26"/>
    </row>
    <row r="29" spans="1:46" ht="15.95" customHeight="1" x14ac:dyDescent="0.25">
      <c r="A29" s="83">
        <v>19</v>
      </c>
      <c r="B29" s="86" t="s">
        <v>69</v>
      </c>
      <c r="C29" s="276" t="s">
        <v>15</v>
      </c>
      <c r="D29" s="87" t="s">
        <v>167</v>
      </c>
      <c r="E29" s="88">
        <v>45</v>
      </c>
      <c r="F29" s="88">
        <v>37</v>
      </c>
      <c r="G29" s="27">
        <f t="shared" si="11"/>
        <v>82</v>
      </c>
      <c r="H29" s="29">
        <f t="shared" si="0"/>
        <v>82</v>
      </c>
      <c r="I29" s="28" t="str">
        <f t="shared" si="12"/>
        <v>FCD</v>
      </c>
      <c r="J29" s="88">
        <v>49</v>
      </c>
      <c r="K29" s="88">
        <v>25</v>
      </c>
      <c r="L29" s="243">
        <f t="shared" si="1"/>
        <v>74</v>
      </c>
      <c r="M29" s="28">
        <f t="shared" si="2"/>
        <v>74</v>
      </c>
      <c r="N29" s="39" t="str">
        <f t="shared" si="13"/>
        <v>FCD</v>
      </c>
      <c r="O29" s="88">
        <v>47</v>
      </c>
      <c r="P29" s="88">
        <v>28</v>
      </c>
      <c r="Q29" s="247">
        <f t="shared" si="3"/>
        <v>75</v>
      </c>
      <c r="R29" s="28">
        <f t="shared" si="4"/>
        <v>75</v>
      </c>
      <c r="S29" s="25" t="str">
        <f t="shared" si="14"/>
        <v>FCD</v>
      </c>
      <c r="T29" s="88">
        <v>95</v>
      </c>
      <c r="U29" s="88">
        <v>92</v>
      </c>
      <c r="V29" s="247">
        <f t="shared" si="5"/>
        <v>187</v>
      </c>
      <c r="W29" s="30">
        <f t="shared" si="15"/>
        <v>93.5</v>
      </c>
      <c r="X29" s="25" t="str">
        <f t="shared" si="16"/>
        <v>FCD</v>
      </c>
      <c r="Y29" s="88">
        <v>49</v>
      </c>
      <c r="Z29" s="88">
        <v>41</v>
      </c>
      <c r="AA29" s="252">
        <f t="shared" si="6"/>
        <v>90</v>
      </c>
      <c r="AB29" s="25">
        <f t="shared" si="7"/>
        <v>90</v>
      </c>
      <c r="AC29" s="23" t="str">
        <f t="shared" si="17"/>
        <v>FCD</v>
      </c>
      <c r="AD29" s="88">
        <v>45</v>
      </c>
      <c r="AE29" s="88">
        <v>33</v>
      </c>
      <c r="AF29" s="257">
        <f t="shared" si="8"/>
        <v>78</v>
      </c>
      <c r="AG29" s="25">
        <f t="shared" si="9"/>
        <v>78</v>
      </c>
      <c r="AH29" s="25" t="str">
        <f t="shared" si="10"/>
        <v>FCD</v>
      </c>
      <c r="AI29" s="257">
        <f t="shared" si="18"/>
        <v>586</v>
      </c>
      <c r="AJ29" s="261">
        <f t="shared" si="19"/>
        <v>83.714285714285722</v>
      </c>
      <c r="AK29" s="262" t="str">
        <f t="shared" si="20"/>
        <v>FCD</v>
      </c>
      <c r="AL29" s="24"/>
      <c r="AM29" s="1"/>
      <c r="AN29" s="1"/>
      <c r="AO29" s="1"/>
      <c r="AP29" s="1"/>
      <c r="AQ29" s="1"/>
      <c r="AR29" s="1"/>
      <c r="AS29" s="1"/>
      <c r="AT29" s="1"/>
    </row>
    <row r="30" spans="1:46" s="13" customFormat="1" ht="15.95" hidden="1" customHeight="1" x14ac:dyDescent="0.25">
      <c r="A30" s="83">
        <v>20</v>
      </c>
      <c r="B30" s="86" t="s">
        <v>70</v>
      </c>
      <c r="C30" s="276" t="s">
        <v>13</v>
      </c>
      <c r="D30" s="87" t="s">
        <v>168</v>
      </c>
      <c r="E30" s="88">
        <v>46</v>
      </c>
      <c r="F30" s="88">
        <v>27</v>
      </c>
      <c r="G30" s="27">
        <f t="shared" si="11"/>
        <v>73</v>
      </c>
      <c r="H30" s="29">
        <f t="shared" si="0"/>
        <v>73</v>
      </c>
      <c r="I30" s="28" t="str">
        <f t="shared" si="12"/>
        <v>FCD</v>
      </c>
      <c r="J30" s="88">
        <v>50</v>
      </c>
      <c r="K30" s="88">
        <v>29</v>
      </c>
      <c r="L30" s="243">
        <f t="shared" si="1"/>
        <v>79</v>
      </c>
      <c r="M30" s="28">
        <f t="shared" si="2"/>
        <v>79</v>
      </c>
      <c r="N30" s="39" t="str">
        <f t="shared" si="13"/>
        <v>FCD</v>
      </c>
      <c r="O30" s="88">
        <v>47</v>
      </c>
      <c r="P30" s="88">
        <v>21</v>
      </c>
      <c r="Q30" s="247">
        <f t="shared" si="3"/>
        <v>68</v>
      </c>
      <c r="R30" s="28">
        <f t="shared" si="4"/>
        <v>68</v>
      </c>
      <c r="S30" s="25" t="str">
        <f t="shared" si="14"/>
        <v>FC</v>
      </c>
      <c r="T30" s="88">
        <v>93</v>
      </c>
      <c r="U30" s="88">
        <v>90</v>
      </c>
      <c r="V30" s="247">
        <f t="shared" si="5"/>
        <v>183</v>
      </c>
      <c r="W30" s="30">
        <f t="shared" si="15"/>
        <v>91.5</v>
      </c>
      <c r="X30" s="25" t="str">
        <f t="shared" si="16"/>
        <v>FCD</v>
      </c>
      <c r="Y30" s="88">
        <v>48</v>
      </c>
      <c r="Z30" s="88">
        <v>40</v>
      </c>
      <c r="AA30" s="252">
        <f t="shared" si="6"/>
        <v>88</v>
      </c>
      <c r="AB30" s="25">
        <f t="shared" si="7"/>
        <v>88</v>
      </c>
      <c r="AC30" s="23" t="str">
        <f t="shared" si="17"/>
        <v>FCD</v>
      </c>
      <c r="AD30" s="88">
        <v>47</v>
      </c>
      <c r="AE30" s="88">
        <v>38</v>
      </c>
      <c r="AF30" s="257">
        <f t="shared" si="8"/>
        <v>85</v>
      </c>
      <c r="AG30" s="25">
        <f t="shared" si="9"/>
        <v>85</v>
      </c>
      <c r="AH30" s="25" t="str">
        <f t="shared" si="10"/>
        <v>FCD</v>
      </c>
      <c r="AI30" s="257">
        <f t="shared" si="18"/>
        <v>576</v>
      </c>
      <c r="AJ30" s="261">
        <f t="shared" si="19"/>
        <v>82.285714285714278</v>
      </c>
      <c r="AK30" s="262" t="str">
        <f t="shared" si="20"/>
        <v>FCD</v>
      </c>
      <c r="AL30" s="134"/>
    </row>
    <row r="31" spans="1:46" s="13" customFormat="1" ht="15.95" hidden="1" customHeight="1" x14ac:dyDescent="0.25">
      <c r="A31" s="83">
        <v>21</v>
      </c>
      <c r="B31" s="86" t="s">
        <v>71</v>
      </c>
      <c r="C31" s="276" t="s">
        <v>13</v>
      </c>
      <c r="D31" s="87" t="s">
        <v>169</v>
      </c>
      <c r="E31" s="88">
        <v>42</v>
      </c>
      <c r="F31" s="88">
        <v>18</v>
      </c>
      <c r="G31" s="27">
        <f t="shared" si="11"/>
        <v>60</v>
      </c>
      <c r="H31" s="29">
        <f t="shared" si="0"/>
        <v>60</v>
      </c>
      <c r="I31" s="28" t="str">
        <f t="shared" si="12"/>
        <v>FC</v>
      </c>
      <c r="J31" s="88">
        <v>49</v>
      </c>
      <c r="K31" s="88">
        <v>23</v>
      </c>
      <c r="L31" s="243">
        <f t="shared" si="1"/>
        <v>72</v>
      </c>
      <c r="M31" s="28">
        <f t="shared" si="2"/>
        <v>72</v>
      </c>
      <c r="N31" s="39" t="str">
        <f t="shared" si="13"/>
        <v>FCD</v>
      </c>
      <c r="O31" s="88">
        <v>36</v>
      </c>
      <c r="P31" s="88">
        <v>26</v>
      </c>
      <c r="Q31" s="247">
        <f t="shared" si="3"/>
        <v>62</v>
      </c>
      <c r="R31" s="28">
        <f t="shared" si="4"/>
        <v>62</v>
      </c>
      <c r="S31" s="25" t="str">
        <f t="shared" si="14"/>
        <v>FC</v>
      </c>
      <c r="T31" s="88">
        <v>84</v>
      </c>
      <c r="U31" s="88">
        <v>91</v>
      </c>
      <c r="V31" s="247">
        <f t="shared" si="5"/>
        <v>175</v>
      </c>
      <c r="W31" s="30">
        <f t="shared" si="15"/>
        <v>87.5</v>
      </c>
      <c r="X31" s="25" t="str">
        <f t="shared" si="16"/>
        <v>FCD</v>
      </c>
      <c r="Y31" s="88">
        <v>45</v>
      </c>
      <c r="Z31" s="88">
        <v>36</v>
      </c>
      <c r="AA31" s="252">
        <f t="shared" si="6"/>
        <v>81</v>
      </c>
      <c r="AB31" s="25">
        <f t="shared" si="7"/>
        <v>81</v>
      </c>
      <c r="AC31" s="23" t="str">
        <f t="shared" si="17"/>
        <v>FCD</v>
      </c>
      <c r="AD31" s="88">
        <v>41</v>
      </c>
      <c r="AE31" s="88">
        <v>25</v>
      </c>
      <c r="AF31" s="257">
        <f t="shared" si="8"/>
        <v>66</v>
      </c>
      <c r="AG31" s="25">
        <f t="shared" si="9"/>
        <v>66</v>
      </c>
      <c r="AH31" s="25" t="str">
        <f t="shared" si="10"/>
        <v>FC</v>
      </c>
      <c r="AI31" s="257">
        <f t="shared" si="18"/>
        <v>516</v>
      </c>
      <c r="AJ31" s="261">
        <f t="shared" si="19"/>
        <v>73.714285714285708</v>
      </c>
      <c r="AK31" s="262" t="str">
        <f t="shared" si="20"/>
        <v>FCD</v>
      </c>
      <c r="AL31" s="135"/>
      <c r="AM31" s="11"/>
      <c r="AN31" s="11"/>
      <c r="AO31" s="11"/>
      <c r="AP31" s="11"/>
      <c r="AQ31" s="11"/>
      <c r="AR31" s="11"/>
      <c r="AS31" s="12"/>
      <c r="AT31" s="11"/>
    </row>
    <row r="32" spans="1:46" s="13" customFormat="1" ht="15.95" hidden="1" customHeight="1" x14ac:dyDescent="0.25">
      <c r="A32" s="83">
        <v>22</v>
      </c>
      <c r="B32" s="86" t="s">
        <v>72</v>
      </c>
      <c r="C32" s="276" t="s">
        <v>13</v>
      </c>
      <c r="D32" s="87" t="s">
        <v>170</v>
      </c>
      <c r="E32" s="88">
        <v>48</v>
      </c>
      <c r="F32" s="88">
        <v>21</v>
      </c>
      <c r="G32" s="27">
        <f t="shared" si="11"/>
        <v>69</v>
      </c>
      <c r="H32" s="29">
        <f t="shared" si="0"/>
        <v>69</v>
      </c>
      <c r="I32" s="28" t="str">
        <f t="shared" si="12"/>
        <v>FC</v>
      </c>
      <c r="J32" s="88">
        <v>47</v>
      </c>
      <c r="K32" s="88">
        <v>29</v>
      </c>
      <c r="L32" s="243">
        <f t="shared" si="1"/>
        <v>76</v>
      </c>
      <c r="M32" s="28">
        <f t="shared" si="2"/>
        <v>76</v>
      </c>
      <c r="N32" s="39" t="str">
        <f t="shared" si="13"/>
        <v>FCD</v>
      </c>
      <c r="O32" s="88">
        <v>46</v>
      </c>
      <c r="P32" s="88">
        <v>22</v>
      </c>
      <c r="Q32" s="247">
        <f t="shared" si="3"/>
        <v>68</v>
      </c>
      <c r="R32" s="28">
        <f t="shared" si="4"/>
        <v>68</v>
      </c>
      <c r="S32" s="25" t="str">
        <f t="shared" si="14"/>
        <v>FC</v>
      </c>
      <c r="T32" s="88">
        <v>84</v>
      </c>
      <c r="U32" s="88">
        <v>89</v>
      </c>
      <c r="V32" s="247">
        <f t="shared" si="5"/>
        <v>173</v>
      </c>
      <c r="W32" s="30">
        <f t="shared" si="15"/>
        <v>86.5</v>
      </c>
      <c r="X32" s="25" t="str">
        <f t="shared" si="16"/>
        <v>FCD</v>
      </c>
      <c r="Y32" s="88">
        <v>48</v>
      </c>
      <c r="Z32" s="88">
        <v>34</v>
      </c>
      <c r="AA32" s="252">
        <f t="shared" si="6"/>
        <v>82</v>
      </c>
      <c r="AB32" s="25">
        <f t="shared" si="7"/>
        <v>82</v>
      </c>
      <c r="AC32" s="23" t="str">
        <f t="shared" si="17"/>
        <v>FCD</v>
      </c>
      <c r="AD32" s="88">
        <v>45</v>
      </c>
      <c r="AE32" s="88">
        <v>37</v>
      </c>
      <c r="AF32" s="257">
        <f t="shared" si="8"/>
        <v>82</v>
      </c>
      <c r="AG32" s="25">
        <f t="shared" si="9"/>
        <v>82</v>
      </c>
      <c r="AH32" s="25" t="str">
        <f t="shared" si="10"/>
        <v>FCD</v>
      </c>
      <c r="AI32" s="257">
        <f t="shared" si="18"/>
        <v>550</v>
      </c>
      <c r="AJ32" s="261">
        <f t="shared" si="19"/>
        <v>78.571428571428569</v>
      </c>
      <c r="AK32" s="262" t="str">
        <f t="shared" si="20"/>
        <v>FCD</v>
      </c>
      <c r="AL32" s="135"/>
      <c r="AM32" s="11"/>
      <c r="AN32" s="11"/>
      <c r="AO32" s="11"/>
      <c r="AP32" s="11"/>
      <c r="AQ32" s="11"/>
      <c r="AR32" s="11"/>
      <c r="AS32" s="12"/>
      <c r="AT32" s="11"/>
    </row>
    <row r="33" spans="1:45" s="13" customFormat="1" ht="15.75" hidden="1" x14ac:dyDescent="0.25">
      <c r="A33" s="83">
        <v>23</v>
      </c>
      <c r="B33" s="86" t="s">
        <v>73</v>
      </c>
      <c r="C33" s="276" t="s">
        <v>13</v>
      </c>
      <c r="D33" s="87" t="s">
        <v>171</v>
      </c>
      <c r="E33" s="88">
        <v>47</v>
      </c>
      <c r="F33" s="88">
        <v>33</v>
      </c>
      <c r="G33" s="27">
        <f t="shared" si="11"/>
        <v>80</v>
      </c>
      <c r="H33" s="29">
        <f t="shared" si="0"/>
        <v>80</v>
      </c>
      <c r="I33" s="28" t="str">
        <f t="shared" si="12"/>
        <v>FCD</v>
      </c>
      <c r="J33" s="88">
        <v>50</v>
      </c>
      <c r="K33" s="88">
        <v>33</v>
      </c>
      <c r="L33" s="243">
        <f t="shared" si="1"/>
        <v>83</v>
      </c>
      <c r="M33" s="28">
        <f t="shared" si="2"/>
        <v>83</v>
      </c>
      <c r="N33" s="39" t="str">
        <f t="shared" si="13"/>
        <v>FCD</v>
      </c>
      <c r="O33" s="88">
        <v>50</v>
      </c>
      <c r="P33" s="88">
        <v>27</v>
      </c>
      <c r="Q33" s="247">
        <f t="shared" si="3"/>
        <v>77</v>
      </c>
      <c r="R33" s="28">
        <f t="shared" si="4"/>
        <v>77</v>
      </c>
      <c r="S33" s="25" t="str">
        <f t="shared" si="14"/>
        <v>FCD</v>
      </c>
      <c r="T33" s="88">
        <v>96</v>
      </c>
      <c r="U33" s="88">
        <v>97</v>
      </c>
      <c r="V33" s="247">
        <f t="shared" si="5"/>
        <v>193</v>
      </c>
      <c r="W33" s="30">
        <f t="shared" si="15"/>
        <v>96.5</v>
      </c>
      <c r="X33" s="25" t="str">
        <f t="shared" si="16"/>
        <v>FCD</v>
      </c>
      <c r="Y33" s="88">
        <v>49</v>
      </c>
      <c r="Z33" s="88">
        <v>39</v>
      </c>
      <c r="AA33" s="252">
        <f t="shared" si="6"/>
        <v>88</v>
      </c>
      <c r="AB33" s="25">
        <f t="shared" si="7"/>
        <v>88</v>
      </c>
      <c r="AC33" s="23" t="str">
        <f t="shared" si="17"/>
        <v>FCD</v>
      </c>
      <c r="AD33" s="88">
        <v>47</v>
      </c>
      <c r="AE33" s="88">
        <v>25</v>
      </c>
      <c r="AF33" s="257">
        <f t="shared" si="8"/>
        <v>72</v>
      </c>
      <c r="AG33" s="25">
        <f t="shared" si="9"/>
        <v>72</v>
      </c>
      <c r="AH33" s="25" t="str">
        <f t="shared" si="10"/>
        <v>FCD</v>
      </c>
      <c r="AI33" s="257">
        <f t="shared" si="18"/>
        <v>593</v>
      </c>
      <c r="AJ33" s="261">
        <f t="shared" si="19"/>
        <v>84.714285714285722</v>
      </c>
      <c r="AK33" s="262" t="str">
        <f t="shared" si="20"/>
        <v>FCD</v>
      </c>
      <c r="AL33" s="135"/>
      <c r="AM33" s="11"/>
      <c r="AN33" s="11"/>
      <c r="AO33" s="11"/>
      <c r="AP33" s="11"/>
      <c r="AQ33" s="11"/>
      <c r="AR33" s="11"/>
      <c r="AS33" s="12"/>
    </row>
    <row r="34" spans="1:45" s="13" customFormat="1" ht="15.75" hidden="1" x14ac:dyDescent="0.25">
      <c r="A34" s="83">
        <v>24</v>
      </c>
      <c r="B34" s="86" t="s">
        <v>74</v>
      </c>
      <c r="C34" s="276" t="s">
        <v>15</v>
      </c>
      <c r="D34" s="87" t="s">
        <v>172</v>
      </c>
      <c r="E34" s="88">
        <v>45</v>
      </c>
      <c r="F34" s="88">
        <v>18</v>
      </c>
      <c r="G34" s="27">
        <f t="shared" si="11"/>
        <v>63</v>
      </c>
      <c r="H34" s="29">
        <f t="shared" si="0"/>
        <v>63</v>
      </c>
      <c r="I34" s="28" t="str">
        <f t="shared" si="12"/>
        <v>FC</v>
      </c>
      <c r="J34" s="88">
        <v>50</v>
      </c>
      <c r="K34" s="88">
        <v>18</v>
      </c>
      <c r="L34" s="243">
        <f t="shared" si="1"/>
        <v>68</v>
      </c>
      <c r="M34" s="28">
        <f t="shared" si="2"/>
        <v>68</v>
      </c>
      <c r="N34" s="39" t="str">
        <f t="shared" si="13"/>
        <v>FC</v>
      </c>
      <c r="O34" s="88">
        <v>47</v>
      </c>
      <c r="P34" s="88">
        <v>18</v>
      </c>
      <c r="Q34" s="247">
        <f t="shared" si="3"/>
        <v>65</v>
      </c>
      <c r="R34" s="28">
        <f t="shared" si="4"/>
        <v>65</v>
      </c>
      <c r="S34" s="25" t="str">
        <f t="shared" si="14"/>
        <v>FC</v>
      </c>
      <c r="T34" s="88">
        <v>94</v>
      </c>
      <c r="U34" s="88">
        <v>96</v>
      </c>
      <c r="V34" s="247">
        <f t="shared" si="5"/>
        <v>190</v>
      </c>
      <c r="W34" s="30">
        <f t="shared" si="15"/>
        <v>95</v>
      </c>
      <c r="X34" s="25" t="str">
        <f t="shared" si="16"/>
        <v>FCD</v>
      </c>
      <c r="Y34" s="88">
        <v>48</v>
      </c>
      <c r="Z34" s="88">
        <v>32</v>
      </c>
      <c r="AA34" s="252">
        <f t="shared" si="6"/>
        <v>80</v>
      </c>
      <c r="AB34" s="25">
        <f t="shared" si="7"/>
        <v>80</v>
      </c>
      <c r="AC34" s="23" t="str">
        <f t="shared" si="17"/>
        <v>FCD</v>
      </c>
      <c r="AD34" s="88">
        <v>43</v>
      </c>
      <c r="AE34" s="88">
        <v>24</v>
      </c>
      <c r="AF34" s="257">
        <f t="shared" si="8"/>
        <v>67</v>
      </c>
      <c r="AG34" s="25">
        <f t="shared" si="9"/>
        <v>67</v>
      </c>
      <c r="AH34" s="25" t="str">
        <f t="shared" si="10"/>
        <v>FC</v>
      </c>
      <c r="AI34" s="257">
        <f t="shared" si="18"/>
        <v>533</v>
      </c>
      <c r="AJ34" s="261">
        <f t="shared" si="19"/>
        <v>76.142857142857139</v>
      </c>
      <c r="AK34" s="262" t="str">
        <f t="shared" si="20"/>
        <v>FCD</v>
      </c>
      <c r="AL34" s="135"/>
      <c r="AM34" s="11"/>
      <c r="AN34" s="11"/>
      <c r="AO34" s="11"/>
      <c r="AP34" s="11"/>
      <c r="AQ34" s="11"/>
      <c r="AR34" s="11"/>
      <c r="AS34" s="12"/>
    </row>
    <row r="35" spans="1:45" ht="15.75" x14ac:dyDescent="0.25">
      <c r="A35" s="83">
        <v>25</v>
      </c>
      <c r="B35" s="86" t="s">
        <v>75</v>
      </c>
      <c r="C35" s="276" t="s">
        <v>15</v>
      </c>
      <c r="D35" s="87" t="s">
        <v>173</v>
      </c>
      <c r="E35" s="88">
        <v>46</v>
      </c>
      <c r="F35" s="88">
        <v>29</v>
      </c>
      <c r="G35" s="27">
        <f t="shared" si="11"/>
        <v>75</v>
      </c>
      <c r="H35" s="29">
        <f t="shared" si="0"/>
        <v>75</v>
      </c>
      <c r="I35" s="28" t="str">
        <f t="shared" si="12"/>
        <v>FCD</v>
      </c>
      <c r="J35" s="88">
        <v>50</v>
      </c>
      <c r="K35" s="88">
        <v>24</v>
      </c>
      <c r="L35" s="243">
        <f t="shared" si="1"/>
        <v>74</v>
      </c>
      <c r="M35" s="28">
        <f t="shared" si="2"/>
        <v>74</v>
      </c>
      <c r="N35" s="39" t="str">
        <f t="shared" si="13"/>
        <v>FCD</v>
      </c>
      <c r="O35" s="88">
        <v>49</v>
      </c>
      <c r="P35" s="88">
        <v>38</v>
      </c>
      <c r="Q35" s="247">
        <f t="shared" si="3"/>
        <v>87</v>
      </c>
      <c r="R35" s="28">
        <f t="shared" si="4"/>
        <v>87</v>
      </c>
      <c r="S35" s="25" t="str">
        <f t="shared" si="14"/>
        <v>FCD</v>
      </c>
      <c r="T35" s="88">
        <v>95</v>
      </c>
      <c r="U35" s="88">
        <v>87</v>
      </c>
      <c r="V35" s="247">
        <f t="shared" si="5"/>
        <v>182</v>
      </c>
      <c r="W35" s="30">
        <f t="shared" si="15"/>
        <v>91</v>
      </c>
      <c r="X35" s="25" t="str">
        <f t="shared" si="16"/>
        <v>FCD</v>
      </c>
      <c r="Y35" s="88">
        <v>47</v>
      </c>
      <c r="Z35" s="88">
        <v>40</v>
      </c>
      <c r="AA35" s="252">
        <f t="shared" si="6"/>
        <v>87</v>
      </c>
      <c r="AB35" s="25">
        <f t="shared" si="7"/>
        <v>87</v>
      </c>
      <c r="AC35" s="23" t="str">
        <f t="shared" si="17"/>
        <v>FCD</v>
      </c>
      <c r="AD35" s="88">
        <v>48</v>
      </c>
      <c r="AE35" s="88">
        <v>35</v>
      </c>
      <c r="AF35" s="257">
        <f t="shared" si="8"/>
        <v>83</v>
      </c>
      <c r="AG35" s="25">
        <f t="shared" si="9"/>
        <v>83</v>
      </c>
      <c r="AH35" s="25" t="str">
        <f t="shared" si="10"/>
        <v>FCD</v>
      </c>
      <c r="AI35" s="257">
        <f t="shared" si="18"/>
        <v>588</v>
      </c>
      <c r="AJ35" s="261">
        <f t="shared" si="19"/>
        <v>84</v>
      </c>
      <c r="AK35" s="262" t="str">
        <f t="shared" si="20"/>
        <v>FCD</v>
      </c>
      <c r="AL35" s="24"/>
      <c r="AM35" s="1"/>
      <c r="AN35" s="1"/>
      <c r="AO35" s="1"/>
      <c r="AP35" s="1"/>
      <c r="AQ35" s="1"/>
      <c r="AR35" s="1"/>
      <c r="AS35" s="4"/>
    </row>
    <row r="36" spans="1:45" ht="15.75" x14ac:dyDescent="0.25">
      <c r="A36" s="83">
        <v>26</v>
      </c>
      <c r="B36" s="86" t="s">
        <v>76</v>
      </c>
      <c r="C36" s="278" t="s">
        <v>15</v>
      </c>
      <c r="D36" s="87" t="s">
        <v>174</v>
      </c>
      <c r="E36" s="88">
        <v>45</v>
      </c>
      <c r="F36" s="88">
        <v>19</v>
      </c>
      <c r="G36" s="27">
        <f t="shared" si="11"/>
        <v>64</v>
      </c>
      <c r="H36" s="29">
        <f t="shared" si="0"/>
        <v>64</v>
      </c>
      <c r="I36" s="28" t="str">
        <f t="shared" si="12"/>
        <v>FC</v>
      </c>
      <c r="J36" s="88">
        <v>47</v>
      </c>
      <c r="K36" s="88">
        <v>28</v>
      </c>
      <c r="L36" s="243">
        <f t="shared" si="1"/>
        <v>75</v>
      </c>
      <c r="M36" s="28">
        <f t="shared" si="2"/>
        <v>75</v>
      </c>
      <c r="N36" s="39" t="str">
        <f t="shared" si="13"/>
        <v>FCD</v>
      </c>
      <c r="O36" s="88">
        <v>37</v>
      </c>
      <c r="P36" s="88">
        <v>18</v>
      </c>
      <c r="Q36" s="247">
        <f t="shared" si="3"/>
        <v>55</v>
      </c>
      <c r="R36" s="28">
        <f t="shared" si="4"/>
        <v>55</v>
      </c>
      <c r="S36" s="25" t="str">
        <f t="shared" si="14"/>
        <v>SC</v>
      </c>
      <c r="T36" s="88">
        <v>91</v>
      </c>
      <c r="U36" s="88">
        <v>91</v>
      </c>
      <c r="V36" s="247">
        <f t="shared" si="5"/>
        <v>182</v>
      </c>
      <c r="W36" s="30">
        <f t="shared" si="15"/>
        <v>91</v>
      </c>
      <c r="X36" s="25" t="str">
        <f t="shared" si="16"/>
        <v>FCD</v>
      </c>
      <c r="Y36" s="88">
        <v>43</v>
      </c>
      <c r="Z36" s="88">
        <v>29</v>
      </c>
      <c r="AA36" s="252">
        <f t="shared" si="6"/>
        <v>72</v>
      </c>
      <c r="AB36" s="25">
        <f t="shared" si="7"/>
        <v>72</v>
      </c>
      <c r="AC36" s="23" t="str">
        <f t="shared" si="17"/>
        <v>FCD</v>
      </c>
      <c r="AD36" s="88">
        <v>44</v>
      </c>
      <c r="AE36" s="88">
        <v>26</v>
      </c>
      <c r="AF36" s="257">
        <f t="shared" si="8"/>
        <v>70</v>
      </c>
      <c r="AG36" s="25">
        <f t="shared" si="9"/>
        <v>70</v>
      </c>
      <c r="AH36" s="25" t="str">
        <f t="shared" si="10"/>
        <v>FCD</v>
      </c>
      <c r="AI36" s="257">
        <f t="shared" si="18"/>
        <v>518</v>
      </c>
      <c r="AJ36" s="261">
        <f t="shared" si="19"/>
        <v>74</v>
      </c>
      <c r="AK36" s="262" t="str">
        <f t="shared" si="20"/>
        <v>FCD</v>
      </c>
      <c r="AL36" s="24"/>
      <c r="AM36" s="1"/>
      <c r="AN36" s="1"/>
      <c r="AO36" s="1"/>
      <c r="AP36" s="1"/>
      <c r="AQ36" s="1"/>
      <c r="AR36" s="1"/>
      <c r="AS36" s="4"/>
    </row>
    <row r="37" spans="1:45" s="13" customFormat="1" ht="15.75" hidden="1" x14ac:dyDescent="0.25">
      <c r="A37" s="83">
        <v>27</v>
      </c>
      <c r="B37" s="86" t="s">
        <v>77</v>
      </c>
      <c r="C37" s="276" t="s">
        <v>13</v>
      </c>
      <c r="D37" s="87" t="s">
        <v>175</v>
      </c>
      <c r="E37" s="88">
        <v>47</v>
      </c>
      <c r="F37" s="88">
        <v>31</v>
      </c>
      <c r="G37" s="27">
        <f t="shared" si="11"/>
        <v>78</v>
      </c>
      <c r="H37" s="29">
        <f t="shared" si="0"/>
        <v>78</v>
      </c>
      <c r="I37" s="28" t="str">
        <f t="shared" si="12"/>
        <v>FCD</v>
      </c>
      <c r="J37" s="88">
        <v>49</v>
      </c>
      <c r="K37" s="88">
        <v>32</v>
      </c>
      <c r="L37" s="243">
        <f t="shared" si="1"/>
        <v>81</v>
      </c>
      <c r="M37" s="28">
        <f t="shared" si="2"/>
        <v>81</v>
      </c>
      <c r="N37" s="39" t="str">
        <f t="shared" si="13"/>
        <v>FCD</v>
      </c>
      <c r="O37" s="88">
        <v>48</v>
      </c>
      <c r="P37" s="88">
        <v>26</v>
      </c>
      <c r="Q37" s="247">
        <f t="shared" si="3"/>
        <v>74</v>
      </c>
      <c r="R37" s="28">
        <f t="shared" si="4"/>
        <v>74</v>
      </c>
      <c r="S37" s="25" t="str">
        <f t="shared" si="14"/>
        <v>FCD</v>
      </c>
      <c r="T37" s="88">
        <v>94</v>
      </c>
      <c r="U37" s="88">
        <v>92</v>
      </c>
      <c r="V37" s="247">
        <f t="shared" si="5"/>
        <v>186</v>
      </c>
      <c r="W37" s="30">
        <f t="shared" si="15"/>
        <v>93</v>
      </c>
      <c r="X37" s="25" t="str">
        <f t="shared" si="16"/>
        <v>FCD</v>
      </c>
      <c r="Y37" s="88">
        <v>50</v>
      </c>
      <c r="Z37" s="88">
        <v>39</v>
      </c>
      <c r="AA37" s="252">
        <f t="shared" si="6"/>
        <v>89</v>
      </c>
      <c r="AB37" s="25">
        <f t="shared" si="7"/>
        <v>89</v>
      </c>
      <c r="AC37" s="23" t="str">
        <f t="shared" si="17"/>
        <v>FCD</v>
      </c>
      <c r="AD37" s="88">
        <v>46</v>
      </c>
      <c r="AE37" s="88">
        <v>36</v>
      </c>
      <c r="AF37" s="257">
        <f t="shared" si="8"/>
        <v>82</v>
      </c>
      <c r="AG37" s="25">
        <f t="shared" si="9"/>
        <v>82</v>
      </c>
      <c r="AH37" s="25" t="str">
        <f t="shared" si="10"/>
        <v>FCD</v>
      </c>
      <c r="AI37" s="257">
        <f t="shared" si="18"/>
        <v>590</v>
      </c>
      <c r="AJ37" s="261">
        <f t="shared" si="19"/>
        <v>84.285714285714292</v>
      </c>
      <c r="AK37" s="262" t="str">
        <f t="shared" si="20"/>
        <v>FCD</v>
      </c>
      <c r="AL37" s="135"/>
      <c r="AM37" s="11"/>
      <c r="AN37" s="11"/>
      <c r="AO37" s="11"/>
      <c r="AP37" s="11"/>
      <c r="AQ37" s="11"/>
      <c r="AR37" s="11"/>
      <c r="AS37" s="12"/>
    </row>
    <row r="38" spans="1:45" s="13" customFormat="1" ht="15.75" hidden="1" x14ac:dyDescent="0.25">
      <c r="A38" s="83">
        <v>28</v>
      </c>
      <c r="B38" s="86" t="s">
        <v>78</v>
      </c>
      <c r="C38" s="276" t="s">
        <v>13</v>
      </c>
      <c r="D38" s="87" t="s">
        <v>176</v>
      </c>
      <c r="E38" s="88">
        <v>47</v>
      </c>
      <c r="F38" s="88">
        <v>32</v>
      </c>
      <c r="G38" s="27">
        <f t="shared" si="11"/>
        <v>79</v>
      </c>
      <c r="H38" s="29">
        <f t="shared" si="0"/>
        <v>79</v>
      </c>
      <c r="I38" s="28" t="str">
        <f t="shared" si="12"/>
        <v>FCD</v>
      </c>
      <c r="J38" s="88">
        <v>50</v>
      </c>
      <c r="K38" s="88">
        <v>30</v>
      </c>
      <c r="L38" s="243">
        <f t="shared" si="1"/>
        <v>80</v>
      </c>
      <c r="M38" s="28">
        <f t="shared" si="2"/>
        <v>80</v>
      </c>
      <c r="N38" s="39" t="str">
        <f t="shared" si="13"/>
        <v>FCD</v>
      </c>
      <c r="O38" s="88">
        <v>47</v>
      </c>
      <c r="P38" s="88">
        <v>30</v>
      </c>
      <c r="Q38" s="247">
        <f t="shared" si="3"/>
        <v>77</v>
      </c>
      <c r="R38" s="28">
        <f t="shared" si="4"/>
        <v>77</v>
      </c>
      <c r="S38" s="25" t="str">
        <f t="shared" si="14"/>
        <v>FCD</v>
      </c>
      <c r="T38" s="88">
        <v>84</v>
      </c>
      <c r="U38" s="88">
        <v>90</v>
      </c>
      <c r="V38" s="247">
        <f t="shared" si="5"/>
        <v>174</v>
      </c>
      <c r="W38" s="30">
        <f t="shared" si="15"/>
        <v>87</v>
      </c>
      <c r="X38" s="25" t="str">
        <f t="shared" si="16"/>
        <v>FCD</v>
      </c>
      <c r="Y38" s="88">
        <v>49</v>
      </c>
      <c r="Z38" s="88">
        <v>24</v>
      </c>
      <c r="AA38" s="252">
        <f t="shared" si="6"/>
        <v>73</v>
      </c>
      <c r="AB38" s="25">
        <f t="shared" si="7"/>
        <v>73</v>
      </c>
      <c r="AC38" s="23" t="str">
        <f t="shared" si="17"/>
        <v>FCD</v>
      </c>
      <c r="AD38" s="88">
        <v>48</v>
      </c>
      <c r="AE38" s="88">
        <v>32</v>
      </c>
      <c r="AF38" s="257">
        <f t="shared" si="8"/>
        <v>80</v>
      </c>
      <c r="AG38" s="25">
        <f t="shared" si="9"/>
        <v>80</v>
      </c>
      <c r="AH38" s="25" t="str">
        <f t="shared" si="10"/>
        <v>FCD</v>
      </c>
      <c r="AI38" s="257">
        <f t="shared" si="18"/>
        <v>563</v>
      </c>
      <c r="AJ38" s="261">
        <f t="shared" si="19"/>
        <v>80.428571428571431</v>
      </c>
      <c r="AK38" s="262" t="str">
        <f t="shared" si="20"/>
        <v>FCD</v>
      </c>
      <c r="AL38" s="134"/>
      <c r="AS38" s="12"/>
    </row>
    <row r="39" spans="1:45" ht="15.75" x14ac:dyDescent="0.25">
      <c r="A39" s="83">
        <v>29</v>
      </c>
      <c r="B39" s="86" t="s">
        <v>79</v>
      </c>
      <c r="C39" s="276" t="s">
        <v>15</v>
      </c>
      <c r="D39" s="87" t="s">
        <v>177</v>
      </c>
      <c r="E39" s="88">
        <v>46</v>
      </c>
      <c r="F39" s="88">
        <v>40</v>
      </c>
      <c r="G39" s="27">
        <f t="shared" si="11"/>
        <v>86</v>
      </c>
      <c r="H39" s="29">
        <f t="shared" si="0"/>
        <v>86</v>
      </c>
      <c r="I39" s="28" t="str">
        <f t="shared" si="12"/>
        <v>FCD</v>
      </c>
      <c r="J39" s="88">
        <v>50</v>
      </c>
      <c r="K39" s="88">
        <v>31</v>
      </c>
      <c r="L39" s="243">
        <f t="shared" si="1"/>
        <v>81</v>
      </c>
      <c r="M39" s="28">
        <f t="shared" si="2"/>
        <v>81</v>
      </c>
      <c r="N39" s="39" t="str">
        <f t="shared" si="13"/>
        <v>FCD</v>
      </c>
      <c r="O39" s="88">
        <v>50</v>
      </c>
      <c r="P39" s="88">
        <v>37</v>
      </c>
      <c r="Q39" s="247">
        <f t="shared" si="3"/>
        <v>87</v>
      </c>
      <c r="R39" s="28">
        <f t="shared" si="4"/>
        <v>87</v>
      </c>
      <c r="S39" s="25" t="str">
        <f t="shared" si="14"/>
        <v>FCD</v>
      </c>
      <c r="T39" s="88">
        <v>92</v>
      </c>
      <c r="U39" s="88">
        <v>86</v>
      </c>
      <c r="V39" s="247">
        <f t="shared" si="5"/>
        <v>178</v>
      </c>
      <c r="W39" s="30">
        <f t="shared" si="15"/>
        <v>89</v>
      </c>
      <c r="X39" s="25" t="str">
        <f t="shared" si="16"/>
        <v>FCD</v>
      </c>
      <c r="Y39" s="88">
        <v>50</v>
      </c>
      <c r="Z39" s="88">
        <v>38</v>
      </c>
      <c r="AA39" s="252">
        <f t="shared" si="6"/>
        <v>88</v>
      </c>
      <c r="AB39" s="25">
        <f t="shared" si="7"/>
        <v>88</v>
      </c>
      <c r="AC39" s="23" t="str">
        <f t="shared" si="17"/>
        <v>FCD</v>
      </c>
      <c r="AD39" s="88">
        <v>47</v>
      </c>
      <c r="AE39" s="88">
        <v>36</v>
      </c>
      <c r="AF39" s="257">
        <f t="shared" si="8"/>
        <v>83</v>
      </c>
      <c r="AG39" s="25">
        <f t="shared" si="9"/>
        <v>83</v>
      </c>
      <c r="AH39" s="25" t="str">
        <f t="shared" si="10"/>
        <v>FCD</v>
      </c>
      <c r="AI39" s="257">
        <f t="shared" si="18"/>
        <v>603</v>
      </c>
      <c r="AJ39" s="261">
        <f t="shared" si="19"/>
        <v>86.142857142857139</v>
      </c>
      <c r="AK39" s="262" t="str">
        <f t="shared" si="20"/>
        <v>FCD</v>
      </c>
      <c r="AL39" s="26"/>
    </row>
    <row r="40" spans="1:45" s="13" customFormat="1" ht="15.75" hidden="1" x14ac:dyDescent="0.25">
      <c r="A40" s="83">
        <v>30</v>
      </c>
      <c r="B40" s="86" t="s">
        <v>80</v>
      </c>
      <c r="C40" s="276" t="s">
        <v>13</v>
      </c>
      <c r="D40" s="87" t="s">
        <v>178</v>
      </c>
      <c r="E40" s="88">
        <v>46</v>
      </c>
      <c r="F40" s="88">
        <v>27</v>
      </c>
      <c r="G40" s="27">
        <f t="shared" si="11"/>
        <v>73</v>
      </c>
      <c r="H40" s="29">
        <f t="shared" si="0"/>
        <v>73</v>
      </c>
      <c r="I40" s="28" t="str">
        <f t="shared" si="12"/>
        <v>FCD</v>
      </c>
      <c r="J40" s="88">
        <v>48</v>
      </c>
      <c r="K40" s="88">
        <v>19</v>
      </c>
      <c r="L40" s="243">
        <f t="shared" si="1"/>
        <v>67</v>
      </c>
      <c r="M40" s="28">
        <f t="shared" si="2"/>
        <v>67</v>
      </c>
      <c r="N40" s="39" t="str">
        <f t="shared" si="13"/>
        <v>FC</v>
      </c>
      <c r="O40" s="88">
        <v>50</v>
      </c>
      <c r="P40" s="88">
        <v>27</v>
      </c>
      <c r="Q40" s="247">
        <f t="shared" si="3"/>
        <v>77</v>
      </c>
      <c r="R40" s="28">
        <f t="shared" si="4"/>
        <v>77</v>
      </c>
      <c r="S40" s="25" t="str">
        <f t="shared" si="14"/>
        <v>FCD</v>
      </c>
      <c r="T40" s="88">
        <v>84</v>
      </c>
      <c r="U40" s="88">
        <v>93</v>
      </c>
      <c r="V40" s="247">
        <f t="shared" si="5"/>
        <v>177</v>
      </c>
      <c r="W40" s="30">
        <f t="shared" si="15"/>
        <v>88.5</v>
      </c>
      <c r="X40" s="25" t="str">
        <f t="shared" si="16"/>
        <v>FCD</v>
      </c>
      <c r="Y40" s="88">
        <v>45</v>
      </c>
      <c r="Z40" s="88">
        <v>39</v>
      </c>
      <c r="AA40" s="252">
        <f t="shared" si="6"/>
        <v>84</v>
      </c>
      <c r="AB40" s="25">
        <f t="shared" si="7"/>
        <v>84</v>
      </c>
      <c r="AC40" s="23" t="str">
        <f t="shared" si="17"/>
        <v>FCD</v>
      </c>
      <c r="AD40" s="88">
        <v>46</v>
      </c>
      <c r="AE40" s="88">
        <v>36</v>
      </c>
      <c r="AF40" s="257">
        <f t="shared" si="8"/>
        <v>82</v>
      </c>
      <c r="AG40" s="25">
        <f t="shared" si="9"/>
        <v>82</v>
      </c>
      <c r="AH40" s="25" t="str">
        <f t="shared" si="10"/>
        <v>FCD</v>
      </c>
      <c r="AI40" s="257">
        <f t="shared" si="18"/>
        <v>560</v>
      </c>
      <c r="AJ40" s="261">
        <f t="shared" si="19"/>
        <v>80</v>
      </c>
      <c r="AK40" s="262" t="str">
        <f t="shared" si="20"/>
        <v>FCD</v>
      </c>
      <c r="AL40" s="134"/>
    </row>
    <row r="41" spans="1:45" ht="15.75" x14ac:dyDescent="0.25">
      <c r="A41" s="83">
        <v>31</v>
      </c>
      <c r="B41" s="86" t="s">
        <v>81</v>
      </c>
      <c r="C41" s="276" t="s">
        <v>15</v>
      </c>
      <c r="D41" s="87" t="s">
        <v>179</v>
      </c>
      <c r="E41" s="88">
        <v>48</v>
      </c>
      <c r="F41" s="88">
        <v>36</v>
      </c>
      <c r="G41" s="27">
        <f t="shared" si="11"/>
        <v>84</v>
      </c>
      <c r="H41" s="29">
        <f t="shared" si="0"/>
        <v>84</v>
      </c>
      <c r="I41" s="28" t="str">
        <f t="shared" si="12"/>
        <v>FCD</v>
      </c>
      <c r="J41" s="88">
        <v>50</v>
      </c>
      <c r="K41" s="88">
        <v>30</v>
      </c>
      <c r="L41" s="243">
        <f t="shared" si="1"/>
        <v>80</v>
      </c>
      <c r="M41" s="28">
        <f t="shared" si="2"/>
        <v>80</v>
      </c>
      <c r="N41" s="39" t="str">
        <f t="shared" si="13"/>
        <v>FCD</v>
      </c>
      <c r="O41" s="88">
        <v>48</v>
      </c>
      <c r="P41" s="88">
        <v>33</v>
      </c>
      <c r="Q41" s="247">
        <f t="shared" si="3"/>
        <v>81</v>
      </c>
      <c r="R41" s="28">
        <f t="shared" si="4"/>
        <v>81</v>
      </c>
      <c r="S41" s="25" t="str">
        <f t="shared" si="14"/>
        <v>FCD</v>
      </c>
      <c r="T41" s="88">
        <v>92</v>
      </c>
      <c r="U41" s="88">
        <v>88</v>
      </c>
      <c r="V41" s="247">
        <f t="shared" si="5"/>
        <v>180</v>
      </c>
      <c r="W41" s="30">
        <f t="shared" si="15"/>
        <v>90</v>
      </c>
      <c r="X41" s="25" t="str">
        <f t="shared" si="16"/>
        <v>FCD</v>
      </c>
      <c r="Y41" s="88">
        <v>50</v>
      </c>
      <c r="Z41" s="88">
        <v>44</v>
      </c>
      <c r="AA41" s="252">
        <f t="shared" si="6"/>
        <v>94</v>
      </c>
      <c r="AB41" s="25">
        <f t="shared" si="7"/>
        <v>94</v>
      </c>
      <c r="AC41" s="23" t="str">
        <f t="shared" si="17"/>
        <v>FCD</v>
      </c>
      <c r="AD41" s="88">
        <v>48</v>
      </c>
      <c r="AE41" s="88">
        <v>27</v>
      </c>
      <c r="AF41" s="257">
        <f t="shared" si="8"/>
        <v>75</v>
      </c>
      <c r="AG41" s="25">
        <f t="shared" si="9"/>
        <v>75</v>
      </c>
      <c r="AH41" s="25" t="str">
        <f t="shared" si="10"/>
        <v>FCD</v>
      </c>
      <c r="AI41" s="257">
        <f t="shared" si="18"/>
        <v>594</v>
      </c>
      <c r="AJ41" s="261">
        <f t="shared" si="19"/>
        <v>84.857142857142847</v>
      </c>
      <c r="AK41" s="262" t="str">
        <f t="shared" si="20"/>
        <v>FCD</v>
      </c>
      <c r="AL41" s="26"/>
    </row>
    <row r="42" spans="1:45" ht="15.75" x14ac:dyDescent="0.25">
      <c r="A42" s="83">
        <v>32</v>
      </c>
      <c r="B42" s="86" t="s">
        <v>82</v>
      </c>
      <c r="C42" s="276" t="s">
        <v>15</v>
      </c>
      <c r="D42" s="87" t="s">
        <v>180</v>
      </c>
      <c r="E42" s="88">
        <v>44</v>
      </c>
      <c r="F42" s="88">
        <v>21</v>
      </c>
      <c r="G42" s="27">
        <f t="shared" si="11"/>
        <v>65</v>
      </c>
      <c r="H42" s="29">
        <f t="shared" si="0"/>
        <v>65</v>
      </c>
      <c r="I42" s="28" t="str">
        <f t="shared" si="12"/>
        <v>FC</v>
      </c>
      <c r="J42" s="88">
        <v>50</v>
      </c>
      <c r="K42" s="88">
        <v>30</v>
      </c>
      <c r="L42" s="243">
        <f t="shared" si="1"/>
        <v>80</v>
      </c>
      <c r="M42" s="28">
        <f t="shared" si="2"/>
        <v>80</v>
      </c>
      <c r="N42" s="39" t="str">
        <f t="shared" si="13"/>
        <v>FCD</v>
      </c>
      <c r="O42" s="88">
        <v>49</v>
      </c>
      <c r="P42" s="88">
        <v>23</v>
      </c>
      <c r="Q42" s="247">
        <f t="shared" si="3"/>
        <v>72</v>
      </c>
      <c r="R42" s="28">
        <f t="shared" si="4"/>
        <v>72</v>
      </c>
      <c r="S42" s="25" t="str">
        <f t="shared" si="14"/>
        <v>FCD</v>
      </c>
      <c r="T42" s="88">
        <v>94</v>
      </c>
      <c r="U42" s="88">
        <v>92</v>
      </c>
      <c r="V42" s="247">
        <f t="shared" si="5"/>
        <v>186</v>
      </c>
      <c r="W42" s="30">
        <f t="shared" si="15"/>
        <v>93</v>
      </c>
      <c r="X42" s="25" t="str">
        <f t="shared" si="16"/>
        <v>FCD</v>
      </c>
      <c r="Y42" s="88">
        <v>49</v>
      </c>
      <c r="Z42" s="88">
        <v>37</v>
      </c>
      <c r="AA42" s="252">
        <f t="shared" si="6"/>
        <v>86</v>
      </c>
      <c r="AB42" s="25">
        <f t="shared" si="7"/>
        <v>86</v>
      </c>
      <c r="AC42" s="23" t="str">
        <f t="shared" si="17"/>
        <v>FCD</v>
      </c>
      <c r="AD42" s="88">
        <v>46</v>
      </c>
      <c r="AE42" s="88">
        <v>24</v>
      </c>
      <c r="AF42" s="257">
        <f t="shared" si="8"/>
        <v>70</v>
      </c>
      <c r="AG42" s="25">
        <f t="shared" si="9"/>
        <v>70</v>
      </c>
      <c r="AH42" s="25" t="str">
        <f t="shared" si="10"/>
        <v>FCD</v>
      </c>
      <c r="AI42" s="257">
        <f t="shared" si="18"/>
        <v>559</v>
      </c>
      <c r="AJ42" s="261">
        <f t="shared" si="19"/>
        <v>79.857142857142861</v>
      </c>
      <c r="AK42" s="262" t="str">
        <f t="shared" si="20"/>
        <v>FCD</v>
      </c>
      <c r="AL42" s="24"/>
      <c r="AM42" s="1"/>
      <c r="AN42" s="1"/>
      <c r="AO42" s="1"/>
      <c r="AP42" s="1"/>
      <c r="AQ42" s="1"/>
      <c r="AR42" s="1"/>
      <c r="AS42" s="1"/>
    </row>
    <row r="43" spans="1:45" s="13" customFormat="1" ht="15.75" hidden="1" x14ac:dyDescent="0.25">
      <c r="A43" s="83">
        <v>33</v>
      </c>
      <c r="B43" s="86" t="s">
        <v>83</v>
      </c>
      <c r="C43" s="276" t="s">
        <v>13</v>
      </c>
      <c r="D43" s="87" t="s">
        <v>181</v>
      </c>
      <c r="E43" s="88">
        <v>44</v>
      </c>
      <c r="F43" s="88">
        <v>24</v>
      </c>
      <c r="G43" s="27">
        <f t="shared" si="11"/>
        <v>68</v>
      </c>
      <c r="H43" s="29">
        <f t="shared" si="0"/>
        <v>68</v>
      </c>
      <c r="I43" s="28" t="str">
        <f t="shared" si="12"/>
        <v>FC</v>
      </c>
      <c r="J43" s="88">
        <v>47</v>
      </c>
      <c r="K43" s="88">
        <v>26</v>
      </c>
      <c r="L43" s="243">
        <f t="shared" si="1"/>
        <v>73</v>
      </c>
      <c r="M43" s="28">
        <f t="shared" si="2"/>
        <v>73</v>
      </c>
      <c r="N43" s="39" t="str">
        <f t="shared" si="13"/>
        <v>FCD</v>
      </c>
      <c r="O43" s="88">
        <v>41</v>
      </c>
      <c r="P43" s="88">
        <v>31</v>
      </c>
      <c r="Q43" s="247">
        <f t="shared" si="3"/>
        <v>72</v>
      </c>
      <c r="R43" s="28">
        <f t="shared" si="4"/>
        <v>72</v>
      </c>
      <c r="S43" s="25" t="str">
        <f t="shared" si="14"/>
        <v>FCD</v>
      </c>
      <c r="T43" s="88">
        <v>93</v>
      </c>
      <c r="U43" s="88">
        <v>91</v>
      </c>
      <c r="V43" s="247">
        <f t="shared" si="5"/>
        <v>184</v>
      </c>
      <c r="W43" s="30">
        <f t="shared" si="15"/>
        <v>92</v>
      </c>
      <c r="X43" s="25" t="str">
        <f t="shared" si="16"/>
        <v>FCD</v>
      </c>
      <c r="Y43" s="88">
        <v>49</v>
      </c>
      <c r="Z43" s="88">
        <v>37</v>
      </c>
      <c r="AA43" s="252">
        <f t="shared" si="6"/>
        <v>86</v>
      </c>
      <c r="AB43" s="25">
        <f t="shared" si="7"/>
        <v>86</v>
      </c>
      <c r="AC43" s="23" t="str">
        <f t="shared" si="17"/>
        <v>FCD</v>
      </c>
      <c r="AD43" s="88">
        <v>43</v>
      </c>
      <c r="AE43" s="88">
        <v>23</v>
      </c>
      <c r="AF43" s="257">
        <f t="shared" si="8"/>
        <v>66</v>
      </c>
      <c r="AG43" s="25">
        <f t="shared" si="9"/>
        <v>66</v>
      </c>
      <c r="AH43" s="25" t="str">
        <f t="shared" si="10"/>
        <v>FC</v>
      </c>
      <c r="AI43" s="257">
        <f t="shared" si="18"/>
        <v>549</v>
      </c>
      <c r="AJ43" s="261">
        <f t="shared" si="19"/>
        <v>78.428571428571431</v>
      </c>
      <c r="AK43" s="262" t="str">
        <f t="shared" si="20"/>
        <v>FCD</v>
      </c>
      <c r="AL43" s="135"/>
      <c r="AM43" s="11"/>
      <c r="AN43" s="11"/>
      <c r="AO43" s="11"/>
      <c r="AP43" s="11"/>
      <c r="AQ43" s="11"/>
      <c r="AR43" s="11"/>
      <c r="AS43" s="11"/>
    </row>
    <row r="44" spans="1:45" s="13" customFormat="1" ht="15.75" hidden="1" x14ac:dyDescent="0.25">
      <c r="A44" s="83">
        <v>34</v>
      </c>
      <c r="B44" s="86" t="s">
        <v>84</v>
      </c>
      <c r="C44" s="276" t="s">
        <v>13</v>
      </c>
      <c r="D44" s="87" t="s">
        <v>182</v>
      </c>
      <c r="E44" s="88">
        <v>45</v>
      </c>
      <c r="F44" s="88">
        <v>33</v>
      </c>
      <c r="G44" s="27">
        <f t="shared" si="11"/>
        <v>78</v>
      </c>
      <c r="H44" s="29">
        <f t="shared" si="0"/>
        <v>78</v>
      </c>
      <c r="I44" s="28" t="str">
        <f t="shared" si="12"/>
        <v>FCD</v>
      </c>
      <c r="J44" s="88">
        <v>49</v>
      </c>
      <c r="K44" s="88">
        <v>29</v>
      </c>
      <c r="L44" s="243">
        <f t="shared" si="1"/>
        <v>78</v>
      </c>
      <c r="M44" s="28">
        <f t="shared" si="2"/>
        <v>78</v>
      </c>
      <c r="N44" s="39" t="str">
        <f t="shared" si="13"/>
        <v>FCD</v>
      </c>
      <c r="O44" s="88">
        <v>43</v>
      </c>
      <c r="P44" s="88">
        <v>40</v>
      </c>
      <c r="Q44" s="247">
        <f t="shared" si="3"/>
        <v>83</v>
      </c>
      <c r="R44" s="28">
        <f t="shared" si="4"/>
        <v>83</v>
      </c>
      <c r="S44" s="25" t="str">
        <f t="shared" si="14"/>
        <v>FCD</v>
      </c>
      <c r="T44" s="88">
        <v>83</v>
      </c>
      <c r="U44" s="88">
        <v>90</v>
      </c>
      <c r="V44" s="247">
        <f t="shared" si="5"/>
        <v>173</v>
      </c>
      <c r="W44" s="30">
        <f t="shared" si="15"/>
        <v>86.5</v>
      </c>
      <c r="X44" s="25" t="str">
        <f t="shared" si="16"/>
        <v>FCD</v>
      </c>
      <c r="Y44" s="88">
        <v>50</v>
      </c>
      <c r="Z44" s="88">
        <v>41</v>
      </c>
      <c r="AA44" s="252">
        <f t="shared" si="6"/>
        <v>91</v>
      </c>
      <c r="AB44" s="25">
        <f t="shared" si="7"/>
        <v>91</v>
      </c>
      <c r="AC44" s="23" t="str">
        <f t="shared" si="17"/>
        <v>FCD</v>
      </c>
      <c r="AD44" s="88">
        <v>44</v>
      </c>
      <c r="AE44" s="88">
        <v>38</v>
      </c>
      <c r="AF44" s="257">
        <f t="shared" si="8"/>
        <v>82</v>
      </c>
      <c r="AG44" s="25">
        <f t="shared" si="9"/>
        <v>82</v>
      </c>
      <c r="AH44" s="25" t="str">
        <f t="shared" si="10"/>
        <v>FCD</v>
      </c>
      <c r="AI44" s="257">
        <f t="shared" si="18"/>
        <v>585</v>
      </c>
      <c r="AJ44" s="261">
        <f t="shared" si="19"/>
        <v>83.571428571428569</v>
      </c>
      <c r="AK44" s="262" t="str">
        <f t="shared" si="20"/>
        <v>FCD</v>
      </c>
      <c r="AL44" s="134"/>
    </row>
    <row r="45" spans="1:45" s="13" customFormat="1" ht="15.75" hidden="1" x14ac:dyDescent="0.25">
      <c r="A45" s="83">
        <v>35</v>
      </c>
      <c r="B45" s="86" t="s">
        <v>85</v>
      </c>
      <c r="C45" s="276" t="s">
        <v>13</v>
      </c>
      <c r="D45" s="87" t="s">
        <v>183</v>
      </c>
      <c r="E45" s="88">
        <v>46</v>
      </c>
      <c r="F45" s="88">
        <v>25</v>
      </c>
      <c r="G45" s="27">
        <f t="shared" si="11"/>
        <v>71</v>
      </c>
      <c r="H45" s="29">
        <f t="shared" si="0"/>
        <v>71</v>
      </c>
      <c r="I45" s="28" t="str">
        <f t="shared" si="12"/>
        <v>FCD</v>
      </c>
      <c r="J45" s="88">
        <v>50</v>
      </c>
      <c r="K45" s="88">
        <v>37</v>
      </c>
      <c r="L45" s="243">
        <f t="shared" si="1"/>
        <v>87</v>
      </c>
      <c r="M45" s="28">
        <f t="shared" si="2"/>
        <v>87</v>
      </c>
      <c r="N45" s="39" t="str">
        <f t="shared" si="13"/>
        <v>FCD</v>
      </c>
      <c r="O45" s="88">
        <v>48</v>
      </c>
      <c r="P45" s="88">
        <v>31</v>
      </c>
      <c r="Q45" s="247">
        <f t="shared" si="3"/>
        <v>79</v>
      </c>
      <c r="R45" s="28">
        <f t="shared" si="4"/>
        <v>79</v>
      </c>
      <c r="S45" s="25" t="str">
        <f t="shared" si="14"/>
        <v>FCD</v>
      </c>
      <c r="T45" s="88">
        <v>95</v>
      </c>
      <c r="U45" s="88">
        <v>92</v>
      </c>
      <c r="V45" s="247">
        <f t="shared" si="5"/>
        <v>187</v>
      </c>
      <c r="W45" s="30">
        <f t="shared" si="15"/>
        <v>93.5</v>
      </c>
      <c r="X45" s="25" t="str">
        <f t="shared" si="16"/>
        <v>FCD</v>
      </c>
      <c r="Y45" s="88">
        <v>49</v>
      </c>
      <c r="Z45" s="88">
        <v>36</v>
      </c>
      <c r="AA45" s="252">
        <f t="shared" si="6"/>
        <v>85</v>
      </c>
      <c r="AB45" s="25">
        <f t="shared" si="7"/>
        <v>85</v>
      </c>
      <c r="AC45" s="23" t="str">
        <f t="shared" si="17"/>
        <v>FCD</v>
      </c>
      <c r="AD45" s="88">
        <v>49</v>
      </c>
      <c r="AE45" s="88">
        <v>26</v>
      </c>
      <c r="AF45" s="257">
        <f t="shared" si="8"/>
        <v>75</v>
      </c>
      <c r="AG45" s="25">
        <f t="shared" si="9"/>
        <v>75</v>
      </c>
      <c r="AH45" s="25" t="str">
        <f t="shared" si="10"/>
        <v>FCD</v>
      </c>
      <c r="AI45" s="257">
        <f t="shared" si="18"/>
        <v>584</v>
      </c>
      <c r="AJ45" s="261">
        <f t="shared" si="19"/>
        <v>83.428571428571431</v>
      </c>
      <c r="AK45" s="262" t="str">
        <f t="shared" si="20"/>
        <v>FCD</v>
      </c>
      <c r="AL45" s="134"/>
    </row>
    <row r="46" spans="1:45" s="13" customFormat="1" ht="15.75" hidden="1" x14ac:dyDescent="0.25">
      <c r="A46" s="83">
        <v>36</v>
      </c>
      <c r="B46" s="86" t="s">
        <v>86</v>
      </c>
      <c r="C46" s="276" t="s">
        <v>13</v>
      </c>
      <c r="D46" s="87" t="s">
        <v>184</v>
      </c>
      <c r="E46" s="88">
        <v>44</v>
      </c>
      <c r="F46" s="88">
        <v>30</v>
      </c>
      <c r="G46" s="27">
        <f t="shared" si="11"/>
        <v>74</v>
      </c>
      <c r="H46" s="29">
        <f t="shared" si="0"/>
        <v>74</v>
      </c>
      <c r="I46" s="28" t="str">
        <f t="shared" si="12"/>
        <v>FCD</v>
      </c>
      <c r="J46" s="88">
        <v>49</v>
      </c>
      <c r="K46" s="88">
        <v>24</v>
      </c>
      <c r="L46" s="243">
        <f t="shared" si="1"/>
        <v>73</v>
      </c>
      <c r="M46" s="28">
        <f t="shared" si="2"/>
        <v>73</v>
      </c>
      <c r="N46" s="39" t="str">
        <f t="shared" si="13"/>
        <v>FCD</v>
      </c>
      <c r="O46" s="88">
        <v>44</v>
      </c>
      <c r="P46" s="88">
        <v>26</v>
      </c>
      <c r="Q46" s="247">
        <f t="shared" si="3"/>
        <v>70</v>
      </c>
      <c r="R46" s="28">
        <f t="shared" si="4"/>
        <v>70</v>
      </c>
      <c r="S46" s="25" t="str">
        <f t="shared" si="14"/>
        <v>FCD</v>
      </c>
      <c r="T46" s="88">
        <v>95</v>
      </c>
      <c r="U46" s="88">
        <v>92</v>
      </c>
      <c r="V46" s="247">
        <f t="shared" si="5"/>
        <v>187</v>
      </c>
      <c r="W46" s="30">
        <f t="shared" si="15"/>
        <v>93.5</v>
      </c>
      <c r="X46" s="25" t="str">
        <f t="shared" si="16"/>
        <v>FCD</v>
      </c>
      <c r="Y46" s="88">
        <v>49</v>
      </c>
      <c r="Z46" s="88">
        <v>43</v>
      </c>
      <c r="AA46" s="252">
        <f t="shared" si="6"/>
        <v>92</v>
      </c>
      <c r="AB46" s="25">
        <f t="shared" si="7"/>
        <v>92</v>
      </c>
      <c r="AC46" s="23" t="str">
        <f t="shared" si="17"/>
        <v>FCD</v>
      </c>
      <c r="AD46" s="88">
        <v>48</v>
      </c>
      <c r="AE46" s="88">
        <v>26</v>
      </c>
      <c r="AF46" s="257">
        <f t="shared" si="8"/>
        <v>74</v>
      </c>
      <c r="AG46" s="25">
        <f t="shared" si="9"/>
        <v>74</v>
      </c>
      <c r="AH46" s="25" t="str">
        <f t="shared" si="10"/>
        <v>FCD</v>
      </c>
      <c r="AI46" s="257">
        <f t="shared" si="18"/>
        <v>570</v>
      </c>
      <c r="AJ46" s="261">
        <f t="shared" si="19"/>
        <v>81.428571428571431</v>
      </c>
      <c r="AK46" s="262" t="str">
        <f t="shared" si="20"/>
        <v>FCD</v>
      </c>
      <c r="AL46" s="135"/>
      <c r="AM46" s="11"/>
      <c r="AN46" s="11"/>
      <c r="AO46" s="11"/>
      <c r="AP46" s="11"/>
      <c r="AQ46" s="11"/>
      <c r="AR46" s="11"/>
      <c r="AS46" s="11"/>
    </row>
    <row r="47" spans="1:45" s="13" customFormat="1" ht="15.75" hidden="1" x14ac:dyDescent="0.25">
      <c r="A47" s="83">
        <v>37</v>
      </c>
      <c r="B47" s="86" t="s">
        <v>87</v>
      </c>
      <c r="C47" s="276" t="s">
        <v>13</v>
      </c>
      <c r="D47" s="87" t="s">
        <v>185</v>
      </c>
      <c r="E47" s="88">
        <v>44</v>
      </c>
      <c r="F47" s="88">
        <v>23</v>
      </c>
      <c r="G47" s="27">
        <f t="shared" si="11"/>
        <v>67</v>
      </c>
      <c r="H47" s="29">
        <f t="shared" si="0"/>
        <v>67</v>
      </c>
      <c r="I47" s="28" t="str">
        <f t="shared" si="12"/>
        <v>FC</v>
      </c>
      <c r="J47" s="88">
        <v>49</v>
      </c>
      <c r="K47" s="88">
        <v>28</v>
      </c>
      <c r="L47" s="243">
        <f t="shared" si="1"/>
        <v>77</v>
      </c>
      <c r="M47" s="28">
        <f t="shared" si="2"/>
        <v>77</v>
      </c>
      <c r="N47" s="39" t="str">
        <f t="shared" si="13"/>
        <v>FCD</v>
      </c>
      <c r="O47" s="88">
        <v>46</v>
      </c>
      <c r="P47" s="88">
        <v>22</v>
      </c>
      <c r="Q47" s="247">
        <f t="shared" si="3"/>
        <v>68</v>
      </c>
      <c r="R47" s="28">
        <f t="shared" si="4"/>
        <v>68</v>
      </c>
      <c r="S47" s="25" t="str">
        <f t="shared" si="14"/>
        <v>FC</v>
      </c>
      <c r="T47" s="88">
        <v>94</v>
      </c>
      <c r="U47" s="88">
        <v>91</v>
      </c>
      <c r="V47" s="247">
        <f t="shared" si="5"/>
        <v>185</v>
      </c>
      <c r="W47" s="30">
        <f t="shared" si="15"/>
        <v>92.5</v>
      </c>
      <c r="X47" s="25" t="str">
        <f t="shared" si="16"/>
        <v>FCD</v>
      </c>
      <c r="Y47" s="88">
        <v>50</v>
      </c>
      <c r="Z47" s="88">
        <v>36</v>
      </c>
      <c r="AA47" s="252">
        <f t="shared" si="6"/>
        <v>86</v>
      </c>
      <c r="AB47" s="25">
        <f t="shared" si="7"/>
        <v>86</v>
      </c>
      <c r="AC47" s="23" t="str">
        <f t="shared" si="17"/>
        <v>FCD</v>
      </c>
      <c r="AD47" s="88">
        <v>44</v>
      </c>
      <c r="AE47" s="88">
        <v>27</v>
      </c>
      <c r="AF47" s="257">
        <f t="shared" si="8"/>
        <v>71</v>
      </c>
      <c r="AG47" s="25">
        <f t="shared" si="9"/>
        <v>71</v>
      </c>
      <c r="AH47" s="25" t="str">
        <f t="shared" si="10"/>
        <v>FCD</v>
      </c>
      <c r="AI47" s="257">
        <f t="shared" si="18"/>
        <v>554</v>
      </c>
      <c r="AJ47" s="261">
        <f t="shared" si="19"/>
        <v>79.142857142857153</v>
      </c>
      <c r="AK47" s="262" t="str">
        <f t="shared" si="20"/>
        <v>FCD</v>
      </c>
      <c r="AL47" s="134"/>
    </row>
    <row r="48" spans="1:45" ht="15.75" x14ac:dyDescent="0.25">
      <c r="A48" s="83">
        <v>38</v>
      </c>
      <c r="B48" s="86" t="s">
        <v>88</v>
      </c>
      <c r="C48" s="276" t="s">
        <v>15</v>
      </c>
      <c r="D48" s="87" t="s">
        <v>186</v>
      </c>
      <c r="E48" s="88">
        <v>44</v>
      </c>
      <c r="F48" s="88">
        <v>18</v>
      </c>
      <c r="G48" s="27">
        <f t="shared" si="11"/>
        <v>62</v>
      </c>
      <c r="H48" s="29">
        <f t="shared" si="0"/>
        <v>62</v>
      </c>
      <c r="I48" s="28" t="str">
        <f t="shared" si="12"/>
        <v>FC</v>
      </c>
      <c r="J48" s="88">
        <v>50</v>
      </c>
      <c r="K48" s="88">
        <v>22</v>
      </c>
      <c r="L48" s="243">
        <f t="shared" si="1"/>
        <v>72</v>
      </c>
      <c r="M48" s="28">
        <f t="shared" si="2"/>
        <v>72</v>
      </c>
      <c r="N48" s="39" t="str">
        <f t="shared" si="13"/>
        <v>FCD</v>
      </c>
      <c r="O48" s="88">
        <v>50</v>
      </c>
      <c r="P48" s="88">
        <v>33</v>
      </c>
      <c r="Q48" s="247">
        <f t="shared" si="3"/>
        <v>83</v>
      </c>
      <c r="R48" s="28">
        <f t="shared" si="4"/>
        <v>83</v>
      </c>
      <c r="S48" s="25" t="str">
        <f t="shared" si="14"/>
        <v>FCD</v>
      </c>
      <c r="T48" s="88">
        <v>96</v>
      </c>
      <c r="U48" s="88">
        <v>97</v>
      </c>
      <c r="V48" s="247">
        <f t="shared" si="5"/>
        <v>193</v>
      </c>
      <c r="W48" s="30">
        <f t="shared" si="15"/>
        <v>96.5</v>
      </c>
      <c r="X48" s="25" t="str">
        <f t="shared" si="16"/>
        <v>FCD</v>
      </c>
      <c r="Y48" s="88">
        <v>50</v>
      </c>
      <c r="Z48" s="88">
        <v>42</v>
      </c>
      <c r="AA48" s="252">
        <f t="shared" si="6"/>
        <v>92</v>
      </c>
      <c r="AB48" s="25">
        <f t="shared" si="7"/>
        <v>92</v>
      </c>
      <c r="AC48" s="23" t="str">
        <f t="shared" si="17"/>
        <v>FCD</v>
      </c>
      <c r="AD48" s="88">
        <v>47</v>
      </c>
      <c r="AE48" s="88">
        <v>35</v>
      </c>
      <c r="AF48" s="257">
        <f t="shared" si="8"/>
        <v>82</v>
      </c>
      <c r="AG48" s="25">
        <f t="shared" si="9"/>
        <v>82</v>
      </c>
      <c r="AH48" s="25" t="str">
        <f t="shared" si="10"/>
        <v>FCD</v>
      </c>
      <c r="AI48" s="257">
        <f t="shared" si="18"/>
        <v>584</v>
      </c>
      <c r="AJ48" s="261">
        <f t="shared" si="19"/>
        <v>83.428571428571431</v>
      </c>
      <c r="AK48" s="262" t="str">
        <f t="shared" si="20"/>
        <v>FCD</v>
      </c>
      <c r="AL48" s="26"/>
    </row>
    <row r="49" spans="1:38" ht="15.75" hidden="1" x14ac:dyDescent="0.25">
      <c r="A49" s="83">
        <v>39</v>
      </c>
      <c r="B49" s="86" t="s">
        <v>89</v>
      </c>
      <c r="C49" s="276" t="s">
        <v>15</v>
      </c>
      <c r="D49" s="87" t="s">
        <v>187</v>
      </c>
      <c r="E49" s="88">
        <v>47</v>
      </c>
      <c r="F49" s="88">
        <v>27</v>
      </c>
      <c r="G49" s="27">
        <f t="shared" si="11"/>
        <v>74</v>
      </c>
      <c r="H49" s="29">
        <f t="shared" si="0"/>
        <v>74</v>
      </c>
      <c r="I49" s="28" t="str">
        <f t="shared" si="12"/>
        <v>FCD</v>
      </c>
      <c r="J49" s="88">
        <v>48</v>
      </c>
      <c r="K49" s="88">
        <v>25</v>
      </c>
      <c r="L49" s="243">
        <f t="shared" si="1"/>
        <v>73</v>
      </c>
      <c r="M49" s="28">
        <f t="shared" si="2"/>
        <v>73</v>
      </c>
      <c r="N49" s="39" t="str">
        <f t="shared" si="13"/>
        <v>FCD</v>
      </c>
      <c r="O49" s="88">
        <v>46</v>
      </c>
      <c r="P49" s="88">
        <v>26</v>
      </c>
      <c r="Q49" s="247">
        <f t="shared" si="3"/>
        <v>72</v>
      </c>
      <c r="R49" s="28">
        <f t="shared" si="4"/>
        <v>72</v>
      </c>
      <c r="S49" s="25" t="str">
        <f t="shared" si="14"/>
        <v>FCD</v>
      </c>
      <c r="T49" s="88">
        <v>93</v>
      </c>
      <c r="U49" s="88">
        <v>92</v>
      </c>
      <c r="V49" s="247">
        <f t="shared" si="5"/>
        <v>185</v>
      </c>
      <c r="W49" s="30">
        <f t="shared" si="15"/>
        <v>92.5</v>
      </c>
      <c r="X49" s="25" t="str">
        <f t="shared" si="16"/>
        <v>FCD</v>
      </c>
      <c r="Y49" s="88">
        <v>48</v>
      </c>
      <c r="Z49" s="88">
        <v>35</v>
      </c>
      <c r="AA49" s="252">
        <f t="shared" si="6"/>
        <v>83</v>
      </c>
      <c r="AB49" s="25">
        <f t="shared" si="7"/>
        <v>83</v>
      </c>
      <c r="AC49" s="23" t="str">
        <f t="shared" si="17"/>
        <v>FCD</v>
      </c>
      <c r="AD49" s="88">
        <v>42</v>
      </c>
      <c r="AE49" s="88">
        <v>24</v>
      </c>
      <c r="AF49" s="257">
        <f t="shared" si="8"/>
        <v>66</v>
      </c>
      <c r="AG49" s="25">
        <f t="shared" si="9"/>
        <v>66</v>
      </c>
      <c r="AH49" s="25" t="str">
        <f t="shared" si="10"/>
        <v>FC</v>
      </c>
      <c r="AI49" s="257">
        <f t="shared" si="18"/>
        <v>553</v>
      </c>
      <c r="AJ49" s="261">
        <f t="shared" si="19"/>
        <v>79</v>
      </c>
      <c r="AK49" s="262" t="str">
        <f t="shared" si="20"/>
        <v>FCD</v>
      </c>
      <c r="AL49" s="26"/>
    </row>
    <row r="50" spans="1:38" ht="15.75" x14ac:dyDescent="0.25">
      <c r="A50" s="83">
        <v>40</v>
      </c>
      <c r="B50" s="86" t="s">
        <v>90</v>
      </c>
      <c r="C50" s="276" t="s">
        <v>15</v>
      </c>
      <c r="D50" s="87" t="s">
        <v>188</v>
      </c>
      <c r="E50" s="88">
        <v>43</v>
      </c>
      <c r="F50" s="88">
        <v>24</v>
      </c>
      <c r="G50" s="27">
        <f t="shared" si="11"/>
        <v>67</v>
      </c>
      <c r="H50" s="29">
        <f t="shared" si="0"/>
        <v>67</v>
      </c>
      <c r="I50" s="28" t="str">
        <f t="shared" si="12"/>
        <v>FC</v>
      </c>
      <c r="J50" s="88">
        <v>49</v>
      </c>
      <c r="K50" s="88">
        <v>25</v>
      </c>
      <c r="L50" s="243">
        <f t="shared" si="1"/>
        <v>74</v>
      </c>
      <c r="M50" s="28">
        <f t="shared" si="2"/>
        <v>74</v>
      </c>
      <c r="N50" s="39" t="str">
        <f t="shared" si="13"/>
        <v>FCD</v>
      </c>
      <c r="O50" s="88">
        <v>46</v>
      </c>
      <c r="P50" s="88">
        <v>32</v>
      </c>
      <c r="Q50" s="247">
        <f t="shared" si="3"/>
        <v>78</v>
      </c>
      <c r="R50" s="28">
        <f t="shared" si="4"/>
        <v>78</v>
      </c>
      <c r="S50" s="25" t="str">
        <f t="shared" si="14"/>
        <v>FCD</v>
      </c>
      <c r="T50" s="88">
        <v>93</v>
      </c>
      <c r="U50" s="88">
        <v>92</v>
      </c>
      <c r="V50" s="247">
        <f t="shared" si="5"/>
        <v>185</v>
      </c>
      <c r="W50" s="30">
        <f t="shared" si="15"/>
        <v>92.5</v>
      </c>
      <c r="X50" s="25" t="str">
        <f t="shared" si="16"/>
        <v>FCD</v>
      </c>
      <c r="Y50" s="88">
        <v>49</v>
      </c>
      <c r="Z50" s="88">
        <v>38</v>
      </c>
      <c r="AA50" s="252">
        <f t="shared" si="6"/>
        <v>87</v>
      </c>
      <c r="AB50" s="25">
        <f t="shared" si="7"/>
        <v>87</v>
      </c>
      <c r="AC50" s="23" t="str">
        <f t="shared" si="17"/>
        <v>FCD</v>
      </c>
      <c r="AD50" s="88">
        <v>45</v>
      </c>
      <c r="AE50" s="88">
        <v>25</v>
      </c>
      <c r="AF50" s="257">
        <f t="shared" si="8"/>
        <v>70</v>
      </c>
      <c r="AG50" s="25">
        <f t="shared" si="9"/>
        <v>70</v>
      </c>
      <c r="AH50" s="25" t="str">
        <f t="shared" si="10"/>
        <v>FCD</v>
      </c>
      <c r="AI50" s="257">
        <f t="shared" si="18"/>
        <v>561</v>
      </c>
      <c r="AJ50" s="261">
        <f t="shared" si="19"/>
        <v>80.142857142857139</v>
      </c>
      <c r="AK50" s="262" t="str">
        <f t="shared" si="20"/>
        <v>FCD</v>
      </c>
      <c r="AL50" s="26"/>
    </row>
    <row r="51" spans="1:38" s="13" customFormat="1" ht="15.75" hidden="1" x14ac:dyDescent="0.25">
      <c r="A51" s="83">
        <v>41</v>
      </c>
      <c r="B51" s="86" t="s">
        <v>91</v>
      </c>
      <c r="C51" s="276" t="s">
        <v>13</v>
      </c>
      <c r="D51" s="87" t="s">
        <v>189</v>
      </c>
      <c r="E51" s="88">
        <v>45</v>
      </c>
      <c r="F51" s="88">
        <v>33</v>
      </c>
      <c r="G51" s="27">
        <f t="shared" si="11"/>
        <v>78</v>
      </c>
      <c r="H51" s="29">
        <f t="shared" si="0"/>
        <v>78</v>
      </c>
      <c r="I51" s="28" t="str">
        <f t="shared" si="12"/>
        <v>FCD</v>
      </c>
      <c r="J51" s="88">
        <v>50</v>
      </c>
      <c r="K51" s="88">
        <v>29</v>
      </c>
      <c r="L51" s="243">
        <f t="shared" si="1"/>
        <v>79</v>
      </c>
      <c r="M51" s="28">
        <f t="shared" si="2"/>
        <v>79</v>
      </c>
      <c r="N51" s="39" t="str">
        <f t="shared" si="13"/>
        <v>FCD</v>
      </c>
      <c r="O51" s="88">
        <v>48</v>
      </c>
      <c r="P51" s="88">
        <v>37</v>
      </c>
      <c r="Q51" s="247">
        <f t="shared" si="3"/>
        <v>85</v>
      </c>
      <c r="R51" s="28">
        <f t="shared" si="4"/>
        <v>85</v>
      </c>
      <c r="S51" s="25" t="str">
        <f t="shared" si="14"/>
        <v>FCD</v>
      </c>
      <c r="T51" s="88">
        <v>95</v>
      </c>
      <c r="U51" s="88">
        <v>93</v>
      </c>
      <c r="V51" s="247">
        <f t="shared" si="5"/>
        <v>188</v>
      </c>
      <c r="W51" s="30">
        <f t="shared" si="15"/>
        <v>94</v>
      </c>
      <c r="X51" s="25" t="str">
        <f t="shared" si="16"/>
        <v>FCD</v>
      </c>
      <c r="Y51" s="88">
        <v>49</v>
      </c>
      <c r="Z51" s="88">
        <v>36</v>
      </c>
      <c r="AA51" s="252">
        <f t="shared" si="6"/>
        <v>85</v>
      </c>
      <c r="AB51" s="25">
        <f t="shared" si="7"/>
        <v>85</v>
      </c>
      <c r="AC51" s="23" t="str">
        <f t="shared" si="17"/>
        <v>FCD</v>
      </c>
      <c r="AD51" s="88">
        <v>44</v>
      </c>
      <c r="AE51" s="88">
        <v>34</v>
      </c>
      <c r="AF51" s="257">
        <f t="shared" si="8"/>
        <v>78</v>
      </c>
      <c r="AG51" s="25">
        <f t="shared" si="9"/>
        <v>78</v>
      </c>
      <c r="AH51" s="25" t="str">
        <f t="shared" si="10"/>
        <v>FCD</v>
      </c>
      <c r="AI51" s="257">
        <f t="shared" si="18"/>
        <v>593</v>
      </c>
      <c r="AJ51" s="261">
        <f t="shared" si="19"/>
        <v>84.714285714285722</v>
      </c>
      <c r="AK51" s="262" t="str">
        <f t="shared" si="20"/>
        <v>FCD</v>
      </c>
      <c r="AL51" s="134"/>
    </row>
    <row r="52" spans="1:38" s="13" customFormat="1" ht="15.75" hidden="1" x14ac:dyDescent="0.25">
      <c r="A52" s="83">
        <v>42</v>
      </c>
      <c r="B52" s="86" t="s">
        <v>92</v>
      </c>
      <c r="C52" s="276" t="s">
        <v>13</v>
      </c>
      <c r="D52" s="87" t="s">
        <v>190</v>
      </c>
      <c r="E52" s="88">
        <v>44</v>
      </c>
      <c r="F52" s="88">
        <v>28</v>
      </c>
      <c r="G52" s="27">
        <f t="shared" si="11"/>
        <v>72</v>
      </c>
      <c r="H52" s="29">
        <f t="shared" si="0"/>
        <v>72</v>
      </c>
      <c r="I52" s="28" t="str">
        <f t="shared" si="12"/>
        <v>FCD</v>
      </c>
      <c r="J52" s="88">
        <v>50</v>
      </c>
      <c r="K52" s="88">
        <v>28</v>
      </c>
      <c r="L52" s="243">
        <f t="shared" si="1"/>
        <v>78</v>
      </c>
      <c r="M52" s="28">
        <f t="shared" si="2"/>
        <v>78</v>
      </c>
      <c r="N52" s="39" t="str">
        <f t="shared" si="13"/>
        <v>FCD</v>
      </c>
      <c r="O52" s="88">
        <v>47</v>
      </c>
      <c r="P52" s="88">
        <v>22</v>
      </c>
      <c r="Q52" s="247">
        <f t="shared" si="3"/>
        <v>69</v>
      </c>
      <c r="R52" s="28">
        <f t="shared" si="4"/>
        <v>69</v>
      </c>
      <c r="S52" s="25" t="str">
        <f t="shared" si="14"/>
        <v>FC</v>
      </c>
      <c r="T52" s="88">
        <v>94</v>
      </c>
      <c r="U52" s="88">
        <v>93</v>
      </c>
      <c r="V52" s="247">
        <f t="shared" si="5"/>
        <v>187</v>
      </c>
      <c r="W52" s="30">
        <f t="shared" si="15"/>
        <v>93.5</v>
      </c>
      <c r="X52" s="25" t="str">
        <f t="shared" si="16"/>
        <v>FCD</v>
      </c>
      <c r="Y52" s="88">
        <v>50</v>
      </c>
      <c r="Z52" s="88">
        <v>37</v>
      </c>
      <c r="AA52" s="252">
        <f t="shared" si="6"/>
        <v>87</v>
      </c>
      <c r="AB52" s="25">
        <f t="shared" si="7"/>
        <v>87</v>
      </c>
      <c r="AC52" s="23" t="str">
        <f t="shared" si="17"/>
        <v>FCD</v>
      </c>
      <c r="AD52" s="88">
        <v>42</v>
      </c>
      <c r="AE52" s="88">
        <v>38</v>
      </c>
      <c r="AF52" s="257">
        <f t="shared" si="8"/>
        <v>80</v>
      </c>
      <c r="AG52" s="25">
        <f t="shared" si="9"/>
        <v>80</v>
      </c>
      <c r="AH52" s="25" t="str">
        <f t="shared" si="10"/>
        <v>FCD</v>
      </c>
      <c r="AI52" s="257">
        <f t="shared" si="18"/>
        <v>573</v>
      </c>
      <c r="AJ52" s="261">
        <f t="shared" si="19"/>
        <v>81.857142857142861</v>
      </c>
      <c r="AK52" s="262" t="str">
        <f t="shared" si="20"/>
        <v>FCD</v>
      </c>
      <c r="AL52" s="134"/>
    </row>
    <row r="53" spans="1:38" ht="15.75" hidden="1" x14ac:dyDescent="0.25">
      <c r="A53" s="83">
        <v>43</v>
      </c>
      <c r="B53" s="86" t="s">
        <v>93</v>
      </c>
      <c r="C53" s="276" t="s">
        <v>15</v>
      </c>
      <c r="D53" s="87" t="s">
        <v>191</v>
      </c>
      <c r="E53" s="88">
        <v>42</v>
      </c>
      <c r="F53" s="88">
        <v>18</v>
      </c>
      <c r="G53" s="27">
        <f t="shared" si="11"/>
        <v>60</v>
      </c>
      <c r="H53" s="29">
        <f t="shared" si="0"/>
        <v>60</v>
      </c>
      <c r="I53" s="28" t="str">
        <f t="shared" si="12"/>
        <v>FC</v>
      </c>
      <c r="J53" s="88">
        <v>48</v>
      </c>
      <c r="K53" s="88">
        <v>23</v>
      </c>
      <c r="L53" s="243">
        <f t="shared" si="1"/>
        <v>71</v>
      </c>
      <c r="M53" s="28">
        <f t="shared" si="2"/>
        <v>71</v>
      </c>
      <c r="N53" s="39" t="str">
        <f t="shared" si="13"/>
        <v>FCD</v>
      </c>
      <c r="O53" s="88">
        <v>44</v>
      </c>
      <c r="P53" s="88">
        <v>18</v>
      </c>
      <c r="Q53" s="247">
        <f t="shared" si="3"/>
        <v>62</v>
      </c>
      <c r="R53" s="28">
        <f t="shared" si="4"/>
        <v>62</v>
      </c>
      <c r="S53" s="25" t="str">
        <f t="shared" si="14"/>
        <v>FC</v>
      </c>
      <c r="T53" s="88">
        <v>89</v>
      </c>
      <c r="U53" s="88">
        <v>80</v>
      </c>
      <c r="V53" s="247">
        <f t="shared" si="5"/>
        <v>169</v>
      </c>
      <c r="W53" s="30">
        <f t="shared" si="15"/>
        <v>84.5</v>
      </c>
      <c r="X53" s="25" t="str">
        <f t="shared" si="16"/>
        <v>FCD</v>
      </c>
      <c r="Y53" s="88">
        <v>48</v>
      </c>
      <c r="Z53" s="88">
        <v>35</v>
      </c>
      <c r="AA53" s="252">
        <f t="shared" si="6"/>
        <v>83</v>
      </c>
      <c r="AB53" s="25">
        <f t="shared" si="7"/>
        <v>83</v>
      </c>
      <c r="AC53" s="23" t="str">
        <f t="shared" si="17"/>
        <v>FCD</v>
      </c>
      <c r="AD53" s="88">
        <v>38</v>
      </c>
      <c r="AE53" s="88">
        <v>31</v>
      </c>
      <c r="AF53" s="257">
        <f t="shared" si="8"/>
        <v>69</v>
      </c>
      <c r="AG53" s="25">
        <f t="shared" si="9"/>
        <v>69</v>
      </c>
      <c r="AH53" s="25" t="str">
        <f t="shared" si="10"/>
        <v>FC</v>
      </c>
      <c r="AI53" s="257">
        <f t="shared" si="18"/>
        <v>514</v>
      </c>
      <c r="AJ53" s="261">
        <f t="shared" si="19"/>
        <v>73.428571428571431</v>
      </c>
      <c r="AK53" s="262" t="str">
        <f t="shared" si="20"/>
        <v>FCD</v>
      </c>
      <c r="AL53" s="26"/>
    </row>
    <row r="54" spans="1:38" s="13" customFormat="1" ht="15.75" hidden="1" x14ac:dyDescent="0.25">
      <c r="A54" s="150">
        <v>44</v>
      </c>
      <c r="B54" s="151" t="s">
        <v>94</v>
      </c>
      <c r="C54" s="279" t="s">
        <v>13</v>
      </c>
      <c r="D54" s="153" t="s">
        <v>192</v>
      </c>
      <c r="E54" s="154">
        <v>45</v>
      </c>
      <c r="F54" s="154">
        <v>35</v>
      </c>
      <c r="G54" s="155">
        <f t="shared" si="11"/>
        <v>80</v>
      </c>
      <c r="H54" s="156">
        <f t="shared" si="0"/>
        <v>80</v>
      </c>
      <c r="I54" s="157" t="str">
        <f t="shared" si="12"/>
        <v>FCD</v>
      </c>
      <c r="J54" s="154">
        <v>48</v>
      </c>
      <c r="K54" s="154">
        <v>31</v>
      </c>
      <c r="L54" s="245">
        <f t="shared" si="1"/>
        <v>79</v>
      </c>
      <c r="M54" s="157">
        <f t="shared" si="2"/>
        <v>79</v>
      </c>
      <c r="N54" s="158" t="str">
        <f t="shared" si="13"/>
        <v>FCD</v>
      </c>
      <c r="O54" s="154">
        <v>50</v>
      </c>
      <c r="P54" s="154">
        <v>41</v>
      </c>
      <c r="Q54" s="249">
        <f t="shared" si="3"/>
        <v>91</v>
      </c>
      <c r="R54" s="157">
        <f t="shared" si="4"/>
        <v>91</v>
      </c>
      <c r="S54" s="160" t="str">
        <f t="shared" si="14"/>
        <v>FCD</v>
      </c>
      <c r="T54" s="154">
        <v>95</v>
      </c>
      <c r="U54" s="154">
        <v>92</v>
      </c>
      <c r="V54" s="249">
        <f t="shared" si="5"/>
        <v>187</v>
      </c>
      <c r="W54" s="159">
        <f t="shared" si="15"/>
        <v>93.5</v>
      </c>
      <c r="X54" s="160" t="str">
        <f t="shared" si="16"/>
        <v>FCD</v>
      </c>
      <c r="Y54" s="154">
        <v>50</v>
      </c>
      <c r="Z54" s="154">
        <v>39</v>
      </c>
      <c r="AA54" s="255">
        <f t="shared" si="6"/>
        <v>89</v>
      </c>
      <c r="AB54" s="160">
        <f t="shared" si="7"/>
        <v>89</v>
      </c>
      <c r="AC54" s="23" t="str">
        <f t="shared" si="17"/>
        <v>FCD</v>
      </c>
      <c r="AD54" s="154">
        <v>49</v>
      </c>
      <c r="AE54" s="154">
        <v>37</v>
      </c>
      <c r="AF54" s="259">
        <f t="shared" si="8"/>
        <v>86</v>
      </c>
      <c r="AG54" s="160">
        <f t="shared" si="9"/>
        <v>86</v>
      </c>
      <c r="AH54" s="160" t="str">
        <f t="shared" si="10"/>
        <v>FCD</v>
      </c>
      <c r="AI54" s="257">
        <f t="shared" si="18"/>
        <v>612</v>
      </c>
      <c r="AJ54" s="261">
        <f t="shared" si="19"/>
        <v>87.428571428571431</v>
      </c>
      <c r="AK54" s="264" t="str">
        <f t="shared" si="20"/>
        <v>FCD</v>
      </c>
      <c r="AL54" s="134"/>
    </row>
    <row r="55" spans="1:38" s="13" customFormat="1" ht="15.75" hidden="1" x14ac:dyDescent="0.25">
      <c r="A55" s="83">
        <v>45</v>
      </c>
      <c r="B55" s="86" t="s">
        <v>95</v>
      </c>
      <c r="C55" s="276" t="s">
        <v>13</v>
      </c>
      <c r="D55" s="87" t="s">
        <v>193</v>
      </c>
      <c r="E55" s="88">
        <v>45</v>
      </c>
      <c r="F55" s="88">
        <v>35</v>
      </c>
      <c r="G55" s="27">
        <f t="shared" si="11"/>
        <v>80</v>
      </c>
      <c r="H55" s="29">
        <f t="shared" si="0"/>
        <v>80</v>
      </c>
      <c r="I55" s="28" t="str">
        <f t="shared" si="12"/>
        <v>FCD</v>
      </c>
      <c r="J55" s="88">
        <v>49</v>
      </c>
      <c r="K55" s="88">
        <v>22</v>
      </c>
      <c r="L55" s="243">
        <f t="shared" si="1"/>
        <v>71</v>
      </c>
      <c r="M55" s="28">
        <f t="shared" si="2"/>
        <v>71</v>
      </c>
      <c r="N55" s="39" t="str">
        <f t="shared" si="13"/>
        <v>FCD</v>
      </c>
      <c r="O55" s="88">
        <v>48</v>
      </c>
      <c r="P55" s="88">
        <v>25</v>
      </c>
      <c r="Q55" s="247">
        <f t="shared" si="3"/>
        <v>73</v>
      </c>
      <c r="R55" s="28">
        <f t="shared" si="4"/>
        <v>73</v>
      </c>
      <c r="S55" s="25" t="str">
        <f t="shared" si="14"/>
        <v>FCD</v>
      </c>
      <c r="T55" s="88">
        <v>95</v>
      </c>
      <c r="U55" s="88">
        <v>91</v>
      </c>
      <c r="V55" s="247">
        <f t="shared" si="5"/>
        <v>186</v>
      </c>
      <c r="W55" s="30">
        <f t="shared" si="15"/>
        <v>93</v>
      </c>
      <c r="X55" s="25" t="str">
        <f t="shared" si="16"/>
        <v>FCD</v>
      </c>
      <c r="Y55" s="88">
        <v>50</v>
      </c>
      <c r="Z55" s="88">
        <v>38</v>
      </c>
      <c r="AA55" s="252">
        <f t="shared" si="6"/>
        <v>88</v>
      </c>
      <c r="AB55" s="25">
        <f t="shared" si="7"/>
        <v>88</v>
      </c>
      <c r="AC55" s="23" t="str">
        <f t="shared" si="17"/>
        <v>FCD</v>
      </c>
      <c r="AD55" s="88">
        <v>46</v>
      </c>
      <c r="AE55" s="88">
        <v>31</v>
      </c>
      <c r="AF55" s="257">
        <f t="shared" si="8"/>
        <v>77</v>
      </c>
      <c r="AG55" s="25">
        <f t="shared" si="9"/>
        <v>77</v>
      </c>
      <c r="AH55" s="25" t="str">
        <f t="shared" si="10"/>
        <v>FCD</v>
      </c>
      <c r="AI55" s="257">
        <f t="shared" si="18"/>
        <v>575</v>
      </c>
      <c r="AJ55" s="261">
        <f t="shared" si="19"/>
        <v>82.142857142857139</v>
      </c>
      <c r="AK55" s="262" t="str">
        <f t="shared" si="20"/>
        <v>FCD</v>
      </c>
      <c r="AL55" s="134"/>
    </row>
    <row r="56" spans="1:38" s="13" customFormat="1" ht="15.75" hidden="1" x14ac:dyDescent="0.25">
      <c r="A56" s="83">
        <v>46</v>
      </c>
      <c r="B56" s="86" t="s">
        <v>96</v>
      </c>
      <c r="C56" s="276" t="s">
        <v>13</v>
      </c>
      <c r="D56" s="87" t="s">
        <v>194</v>
      </c>
      <c r="E56" s="88">
        <v>48</v>
      </c>
      <c r="F56" s="88">
        <v>27</v>
      </c>
      <c r="G56" s="27">
        <f t="shared" si="11"/>
        <v>75</v>
      </c>
      <c r="H56" s="29">
        <f t="shared" si="0"/>
        <v>75</v>
      </c>
      <c r="I56" s="28" t="str">
        <f t="shared" si="12"/>
        <v>FCD</v>
      </c>
      <c r="J56" s="88">
        <v>50</v>
      </c>
      <c r="K56" s="88">
        <v>31</v>
      </c>
      <c r="L56" s="243">
        <f t="shared" si="1"/>
        <v>81</v>
      </c>
      <c r="M56" s="28">
        <f t="shared" si="2"/>
        <v>81</v>
      </c>
      <c r="N56" s="39" t="str">
        <f t="shared" si="13"/>
        <v>FCD</v>
      </c>
      <c r="O56" s="88">
        <v>49</v>
      </c>
      <c r="P56" s="88">
        <v>31</v>
      </c>
      <c r="Q56" s="247">
        <f t="shared" si="3"/>
        <v>80</v>
      </c>
      <c r="R56" s="28">
        <f t="shared" si="4"/>
        <v>80</v>
      </c>
      <c r="S56" s="25" t="str">
        <f t="shared" si="14"/>
        <v>FCD</v>
      </c>
      <c r="T56" s="88">
        <v>83</v>
      </c>
      <c r="U56" s="88">
        <v>92</v>
      </c>
      <c r="V56" s="247">
        <f t="shared" si="5"/>
        <v>175</v>
      </c>
      <c r="W56" s="30">
        <f t="shared" si="15"/>
        <v>87.5</v>
      </c>
      <c r="X56" s="25" t="str">
        <f t="shared" si="16"/>
        <v>FCD</v>
      </c>
      <c r="Y56" s="88">
        <v>50</v>
      </c>
      <c r="Z56" s="88">
        <v>39</v>
      </c>
      <c r="AA56" s="252">
        <f t="shared" si="6"/>
        <v>89</v>
      </c>
      <c r="AB56" s="25">
        <f t="shared" si="7"/>
        <v>89</v>
      </c>
      <c r="AC56" s="23" t="str">
        <f t="shared" si="17"/>
        <v>FCD</v>
      </c>
      <c r="AD56" s="88">
        <v>48</v>
      </c>
      <c r="AE56" s="88">
        <v>26</v>
      </c>
      <c r="AF56" s="257">
        <f t="shared" si="8"/>
        <v>74</v>
      </c>
      <c r="AG56" s="25">
        <f t="shared" si="9"/>
        <v>74</v>
      </c>
      <c r="AH56" s="25" t="str">
        <f t="shared" si="10"/>
        <v>FCD</v>
      </c>
      <c r="AI56" s="257">
        <f t="shared" si="18"/>
        <v>574</v>
      </c>
      <c r="AJ56" s="261">
        <f t="shared" si="19"/>
        <v>82</v>
      </c>
      <c r="AK56" s="262" t="str">
        <f t="shared" si="20"/>
        <v>FCD</v>
      </c>
      <c r="AL56" s="134"/>
    </row>
    <row r="57" spans="1:38" s="13" customFormat="1" ht="15.75" hidden="1" x14ac:dyDescent="0.25">
      <c r="A57" s="83">
        <v>47</v>
      </c>
      <c r="B57" s="86" t="s">
        <v>97</v>
      </c>
      <c r="C57" s="276" t="s">
        <v>13</v>
      </c>
      <c r="D57" s="87" t="s">
        <v>195</v>
      </c>
      <c r="E57" s="88">
        <v>45</v>
      </c>
      <c r="F57" s="88">
        <v>28</v>
      </c>
      <c r="G57" s="27">
        <f t="shared" si="11"/>
        <v>73</v>
      </c>
      <c r="H57" s="29">
        <f t="shared" si="0"/>
        <v>73</v>
      </c>
      <c r="I57" s="28" t="str">
        <f t="shared" si="12"/>
        <v>FCD</v>
      </c>
      <c r="J57" s="88">
        <v>49</v>
      </c>
      <c r="K57" s="88">
        <v>33</v>
      </c>
      <c r="L57" s="243">
        <f t="shared" si="1"/>
        <v>82</v>
      </c>
      <c r="M57" s="28">
        <f t="shared" si="2"/>
        <v>82</v>
      </c>
      <c r="N57" s="39" t="str">
        <f t="shared" si="13"/>
        <v>FCD</v>
      </c>
      <c r="O57" s="88">
        <v>40</v>
      </c>
      <c r="P57" s="88">
        <v>18</v>
      </c>
      <c r="Q57" s="247">
        <f t="shared" si="3"/>
        <v>58</v>
      </c>
      <c r="R57" s="28">
        <f t="shared" si="4"/>
        <v>58</v>
      </c>
      <c r="S57" s="25" t="str">
        <f t="shared" si="14"/>
        <v>SC</v>
      </c>
      <c r="T57" s="88">
        <v>84</v>
      </c>
      <c r="U57" s="88">
        <v>86</v>
      </c>
      <c r="V57" s="247">
        <f t="shared" si="5"/>
        <v>170</v>
      </c>
      <c r="W57" s="30">
        <f t="shared" si="15"/>
        <v>85</v>
      </c>
      <c r="X57" s="25" t="str">
        <f t="shared" si="16"/>
        <v>FCD</v>
      </c>
      <c r="Y57" s="88">
        <v>48</v>
      </c>
      <c r="Z57" s="88">
        <v>42</v>
      </c>
      <c r="AA57" s="252">
        <f t="shared" si="6"/>
        <v>90</v>
      </c>
      <c r="AB57" s="25">
        <f t="shared" si="7"/>
        <v>90</v>
      </c>
      <c r="AC57" s="23" t="str">
        <f t="shared" si="17"/>
        <v>FCD</v>
      </c>
      <c r="AD57" s="88">
        <v>46</v>
      </c>
      <c r="AE57" s="88">
        <v>35</v>
      </c>
      <c r="AF57" s="257">
        <f t="shared" si="8"/>
        <v>81</v>
      </c>
      <c r="AG57" s="25">
        <f t="shared" si="9"/>
        <v>81</v>
      </c>
      <c r="AH57" s="25" t="str">
        <f t="shared" si="10"/>
        <v>FCD</v>
      </c>
      <c r="AI57" s="257">
        <f t="shared" si="18"/>
        <v>554</v>
      </c>
      <c r="AJ57" s="261">
        <f t="shared" si="19"/>
        <v>79.142857142857153</v>
      </c>
      <c r="AK57" s="262" t="str">
        <f t="shared" si="20"/>
        <v>FCD</v>
      </c>
      <c r="AL57" s="134"/>
    </row>
    <row r="58" spans="1:38" ht="15.75" hidden="1" x14ac:dyDescent="0.25">
      <c r="A58" s="83">
        <v>48</v>
      </c>
      <c r="B58" s="86" t="s">
        <v>98</v>
      </c>
      <c r="C58" s="276" t="s">
        <v>15</v>
      </c>
      <c r="D58" s="87" t="s">
        <v>196</v>
      </c>
      <c r="E58" s="136">
        <v>43</v>
      </c>
      <c r="F58" s="136">
        <v>9</v>
      </c>
      <c r="G58" s="10">
        <f t="shared" si="11"/>
        <v>52</v>
      </c>
      <c r="H58" s="137">
        <f t="shared" si="0"/>
        <v>52</v>
      </c>
      <c r="I58" s="31" t="str">
        <f t="shared" si="12"/>
        <v>F</v>
      </c>
      <c r="J58" s="136">
        <v>47</v>
      </c>
      <c r="K58" s="136">
        <v>13</v>
      </c>
      <c r="L58" s="243">
        <f t="shared" si="1"/>
        <v>60</v>
      </c>
      <c r="M58" s="31">
        <f t="shared" si="2"/>
        <v>60</v>
      </c>
      <c r="N58" s="40" t="str">
        <f t="shared" si="13"/>
        <v>F</v>
      </c>
      <c r="O58" s="88">
        <v>36</v>
      </c>
      <c r="P58" s="88">
        <v>19</v>
      </c>
      <c r="Q58" s="247">
        <f t="shared" si="3"/>
        <v>55</v>
      </c>
      <c r="R58" s="28">
        <f t="shared" si="4"/>
        <v>55</v>
      </c>
      <c r="S58" s="25" t="str">
        <f t="shared" si="14"/>
        <v>SC</v>
      </c>
      <c r="T58" s="88">
        <v>89</v>
      </c>
      <c r="U58" s="88">
        <v>80</v>
      </c>
      <c r="V58" s="247">
        <f t="shared" si="5"/>
        <v>169</v>
      </c>
      <c r="W58" s="30">
        <f t="shared" si="15"/>
        <v>84.5</v>
      </c>
      <c r="X58" s="25" t="str">
        <f t="shared" si="16"/>
        <v>FCD</v>
      </c>
      <c r="Y58" s="88">
        <v>40</v>
      </c>
      <c r="Z58" s="88">
        <v>22</v>
      </c>
      <c r="AA58" s="252">
        <f t="shared" si="6"/>
        <v>62</v>
      </c>
      <c r="AB58" s="25">
        <f t="shared" si="7"/>
        <v>62</v>
      </c>
      <c r="AC58" s="23" t="str">
        <f t="shared" si="17"/>
        <v>FC</v>
      </c>
      <c r="AD58" s="88">
        <v>39</v>
      </c>
      <c r="AE58" s="88">
        <v>19</v>
      </c>
      <c r="AF58" s="257">
        <f t="shared" si="8"/>
        <v>58</v>
      </c>
      <c r="AG58" s="25">
        <f t="shared" si="9"/>
        <v>58</v>
      </c>
      <c r="AH58" s="25" t="str">
        <f t="shared" si="10"/>
        <v>SC</v>
      </c>
      <c r="AI58" s="257">
        <f t="shared" si="18"/>
        <v>456</v>
      </c>
      <c r="AJ58" s="261">
        <f t="shared" si="19"/>
        <v>65.142857142857153</v>
      </c>
      <c r="AK58" s="265" t="s">
        <v>322</v>
      </c>
      <c r="AL58" s="26"/>
    </row>
    <row r="59" spans="1:38" ht="15.75" x14ac:dyDescent="0.25">
      <c r="A59" s="83">
        <v>49</v>
      </c>
      <c r="B59" s="86" t="s">
        <v>99</v>
      </c>
      <c r="C59" s="278" t="s">
        <v>15</v>
      </c>
      <c r="D59" s="87" t="s">
        <v>197</v>
      </c>
      <c r="E59" s="88">
        <v>45</v>
      </c>
      <c r="F59" s="88">
        <v>18</v>
      </c>
      <c r="G59" s="27">
        <f t="shared" si="11"/>
        <v>63</v>
      </c>
      <c r="H59" s="29">
        <f t="shared" si="0"/>
        <v>63</v>
      </c>
      <c r="I59" s="28" t="str">
        <f t="shared" si="12"/>
        <v>FC</v>
      </c>
      <c r="J59" s="88">
        <v>47</v>
      </c>
      <c r="K59" s="88">
        <v>28</v>
      </c>
      <c r="L59" s="243">
        <f t="shared" si="1"/>
        <v>75</v>
      </c>
      <c r="M59" s="28">
        <f t="shared" si="2"/>
        <v>75</v>
      </c>
      <c r="N59" s="39" t="str">
        <f t="shared" si="13"/>
        <v>FCD</v>
      </c>
      <c r="O59" s="136">
        <v>46</v>
      </c>
      <c r="P59" s="136">
        <v>10</v>
      </c>
      <c r="Q59" s="250">
        <f t="shared" si="3"/>
        <v>56</v>
      </c>
      <c r="R59" s="31">
        <f t="shared" si="4"/>
        <v>56</v>
      </c>
      <c r="S59" s="33" t="str">
        <f t="shared" si="14"/>
        <v>F</v>
      </c>
      <c r="T59" s="88">
        <v>91</v>
      </c>
      <c r="U59" s="88">
        <v>91</v>
      </c>
      <c r="V59" s="247">
        <f t="shared" si="5"/>
        <v>182</v>
      </c>
      <c r="W59" s="30">
        <f t="shared" si="15"/>
        <v>91</v>
      </c>
      <c r="X59" s="25" t="str">
        <f t="shared" si="16"/>
        <v>FCD</v>
      </c>
      <c r="Y59" s="88">
        <v>49</v>
      </c>
      <c r="Z59" s="88">
        <v>33</v>
      </c>
      <c r="AA59" s="252">
        <f t="shared" si="6"/>
        <v>82</v>
      </c>
      <c r="AB59" s="25">
        <f t="shared" si="7"/>
        <v>82</v>
      </c>
      <c r="AC59" s="23" t="str">
        <f t="shared" si="17"/>
        <v>FCD</v>
      </c>
      <c r="AD59" s="88">
        <v>42</v>
      </c>
      <c r="AE59" s="88">
        <v>31</v>
      </c>
      <c r="AF59" s="257">
        <f t="shared" si="8"/>
        <v>73</v>
      </c>
      <c r="AG59" s="25">
        <f t="shared" si="9"/>
        <v>73</v>
      </c>
      <c r="AH59" s="25" t="str">
        <f t="shared" si="10"/>
        <v>FCD</v>
      </c>
      <c r="AI59" s="257">
        <f t="shared" si="18"/>
        <v>531</v>
      </c>
      <c r="AJ59" s="261">
        <f t="shared" si="19"/>
        <v>75.857142857142861</v>
      </c>
      <c r="AK59" s="266" t="s">
        <v>322</v>
      </c>
      <c r="AL59" s="26"/>
    </row>
    <row r="60" spans="1:38" s="13" customFormat="1" ht="15.75" hidden="1" x14ac:dyDescent="0.25">
      <c r="A60" s="83">
        <v>50</v>
      </c>
      <c r="B60" s="86" t="s">
        <v>100</v>
      </c>
      <c r="C60" s="278" t="s">
        <v>13</v>
      </c>
      <c r="D60" s="87" t="s">
        <v>198</v>
      </c>
      <c r="E60" s="88">
        <v>43</v>
      </c>
      <c r="F60" s="88">
        <v>23</v>
      </c>
      <c r="G60" s="27">
        <f t="shared" ref="G60:G74" si="21">SUM(E60+F60)</f>
        <v>66</v>
      </c>
      <c r="H60" s="29">
        <f t="shared" ref="H60:H74" si="22">AVERAGE(G60)</f>
        <v>66</v>
      </c>
      <c r="I60" s="28" t="str">
        <f t="shared" ref="I60:I74" si="23">IF((F60&lt;18),"F",IF(AND(H60&gt;=70,H60&lt;100),"FCD",IF(AND(H60&gt;=60,H60&lt;70),"FC",IF(AND(H60&gt;=35,H60&lt;60),"SC",IF(AND(H60&gt;0,H60&gt;35),"F")))))</f>
        <v>FC</v>
      </c>
      <c r="J60" s="88">
        <v>47</v>
      </c>
      <c r="K60" s="88">
        <v>29</v>
      </c>
      <c r="L60" s="243">
        <f t="shared" ref="L60:L74" si="24">SUM(J60+K60)</f>
        <v>76</v>
      </c>
      <c r="M60" s="28">
        <f t="shared" si="2"/>
        <v>76</v>
      </c>
      <c r="N60" s="39" t="str">
        <f t="shared" ref="N60:N74" si="25">IF((K60&lt;18),"F",IF(AND(M60&gt;=70,M60&lt;100),"FCD",IF(AND(M60&gt;=60,M60&lt;70),"FC",IF(AND(M60&gt;=35,M60&lt;60),"SC",IF(AND(M60&gt;0,M60&gt;35),"F")))))</f>
        <v>FCD</v>
      </c>
      <c r="O60" s="88">
        <v>44</v>
      </c>
      <c r="P60" s="88">
        <v>26</v>
      </c>
      <c r="Q60" s="247">
        <f t="shared" ref="Q60:Q69" si="26">SUM(O60+P60)</f>
        <v>70</v>
      </c>
      <c r="R60" s="28">
        <f t="shared" ref="R60:R74" si="27">AVERAGE(Q60)</f>
        <v>70</v>
      </c>
      <c r="S60" s="25" t="str">
        <f t="shared" ref="S60:S69" si="28">IF((P60&lt;18),"F",IF(AND(R60&gt;=70,R60&lt;100),"FCD",IF(AND(R60&gt;=60,R60&lt;70),"FC",IF(AND(R60&gt;=35,R60&lt;60),"SC",IF(AND(R60&gt;0,R60&gt;35),"F")))))</f>
        <v>FCD</v>
      </c>
      <c r="T60" s="88">
        <v>83</v>
      </c>
      <c r="U60" s="88">
        <v>92</v>
      </c>
      <c r="V60" s="247">
        <f t="shared" si="5"/>
        <v>175</v>
      </c>
      <c r="W60" s="30">
        <f t="shared" si="15"/>
        <v>87.5</v>
      </c>
      <c r="X60" s="25" t="str">
        <f t="shared" ref="X60:X69" si="29">IF((U60&lt;18),"F",IF(AND(W60&gt;=70,W60&lt;100),"FCD",IF(AND(W60&gt;=60,W60&lt;70),"FC",IF(AND(W60&gt;=35,W60&lt;60),"SC",IF(AND(W60&gt;0,W60&gt;35),"F")))))</f>
        <v>FCD</v>
      </c>
      <c r="Y60" s="88">
        <v>46</v>
      </c>
      <c r="Z60" s="88">
        <v>34</v>
      </c>
      <c r="AA60" s="252">
        <f t="shared" ref="AA60:AA74" si="30">SUM(Y60+Z60)</f>
        <v>80</v>
      </c>
      <c r="AB60" s="25">
        <f t="shared" ref="AB60:AB74" si="31">AVERAGE(AA60)</f>
        <v>80</v>
      </c>
      <c r="AC60" s="23" t="str">
        <f t="shared" si="17"/>
        <v>FCD</v>
      </c>
      <c r="AD60" s="88">
        <v>39</v>
      </c>
      <c r="AE60" s="88">
        <v>22</v>
      </c>
      <c r="AF60" s="257">
        <f t="shared" ref="AF60:AF74" si="32">SUM(AD60+AE60)</f>
        <v>61</v>
      </c>
      <c r="AG60" s="25">
        <f t="shared" ref="AG60:AG74" si="33">AVERAGE(AF60)</f>
        <v>61</v>
      </c>
      <c r="AH60" s="25" t="str">
        <f t="shared" ref="AH60:AH74" si="34">IF((AE60&lt;18),"F",IF(AND(AG60&gt;=70,AG60&lt;100),"FCD",IF(AND(AG60&gt;=60,AG60&lt;70),"FC",IF(AND(AG60&gt;=35,AG60&lt;60),"SC",IF(AND(AG60&gt;0,AG60&gt;35),"F")))))</f>
        <v>FC</v>
      </c>
      <c r="AI60" s="257">
        <f t="shared" si="18"/>
        <v>528</v>
      </c>
      <c r="AJ60" s="261">
        <f t="shared" si="19"/>
        <v>75.428571428571431</v>
      </c>
      <c r="AK60" s="262" t="str">
        <f t="shared" ref="AK60:AK73" si="35">IF(AND(AJ60&gt;=70,AJ60&lt;100),"FCD",IF(AND(AJ60&gt;=60,AJ60&lt;70),"FC",IF(AND(AJ60&gt;=35,AJ60&lt;60)," SC",IF(AND(AJ60&gt;0,AJ60&lt;35),"FAIL"))))</f>
        <v>FCD</v>
      </c>
      <c r="AL60" s="134"/>
    </row>
    <row r="61" spans="1:38" s="13" customFormat="1" ht="15.75" hidden="1" x14ac:dyDescent="0.25">
      <c r="A61" s="83">
        <v>51</v>
      </c>
      <c r="B61" s="86" t="s">
        <v>101</v>
      </c>
      <c r="C61" s="276" t="s">
        <v>13</v>
      </c>
      <c r="D61" s="87" t="s">
        <v>199</v>
      </c>
      <c r="E61" s="88">
        <v>44</v>
      </c>
      <c r="F61" s="88">
        <v>23</v>
      </c>
      <c r="G61" s="27">
        <f t="shared" si="21"/>
        <v>67</v>
      </c>
      <c r="H61" s="29">
        <f t="shared" si="22"/>
        <v>67</v>
      </c>
      <c r="I61" s="28" t="str">
        <f t="shared" si="23"/>
        <v>FC</v>
      </c>
      <c r="J61" s="88">
        <v>49</v>
      </c>
      <c r="K61" s="88">
        <v>24</v>
      </c>
      <c r="L61" s="243">
        <f t="shared" si="24"/>
        <v>73</v>
      </c>
      <c r="M61" s="28">
        <f t="shared" ref="M61:M74" si="36">AVERAGE(L61)</f>
        <v>73</v>
      </c>
      <c r="N61" s="39" t="str">
        <f t="shared" si="25"/>
        <v>FCD</v>
      </c>
      <c r="O61" s="88">
        <v>41</v>
      </c>
      <c r="P61" s="88">
        <v>21</v>
      </c>
      <c r="Q61" s="247">
        <f t="shared" si="26"/>
        <v>62</v>
      </c>
      <c r="R61" s="28">
        <f t="shared" si="27"/>
        <v>62</v>
      </c>
      <c r="S61" s="25" t="str">
        <f t="shared" si="28"/>
        <v>FC</v>
      </c>
      <c r="T61" s="88">
        <v>94</v>
      </c>
      <c r="U61" s="88">
        <v>90</v>
      </c>
      <c r="V61" s="247">
        <f t="shared" si="5"/>
        <v>184</v>
      </c>
      <c r="W61" s="30">
        <f t="shared" si="15"/>
        <v>92</v>
      </c>
      <c r="X61" s="25" t="str">
        <f t="shared" si="29"/>
        <v>FCD</v>
      </c>
      <c r="Y61" s="88">
        <v>49</v>
      </c>
      <c r="Z61" s="88">
        <v>35</v>
      </c>
      <c r="AA61" s="252">
        <f t="shared" si="30"/>
        <v>84</v>
      </c>
      <c r="AB61" s="25">
        <f t="shared" si="31"/>
        <v>84</v>
      </c>
      <c r="AC61" s="23" t="str">
        <f t="shared" si="17"/>
        <v>FCD</v>
      </c>
      <c r="AD61" s="88">
        <v>42</v>
      </c>
      <c r="AE61" s="88">
        <v>34</v>
      </c>
      <c r="AF61" s="257">
        <f t="shared" si="32"/>
        <v>76</v>
      </c>
      <c r="AG61" s="25">
        <f t="shared" si="33"/>
        <v>76</v>
      </c>
      <c r="AH61" s="25" t="str">
        <f t="shared" si="34"/>
        <v>FCD</v>
      </c>
      <c r="AI61" s="257">
        <f t="shared" si="18"/>
        <v>546</v>
      </c>
      <c r="AJ61" s="261">
        <f t="shared" si="19"/>
        <v>78</v>
      </c>
      <c r="AK61" s="262" t="str">
        <f t="shared" si="35"/>
        <v>FCD</v>
      </c>
      <c r="AL61" s="134"/>
    </row>
    <row r="62" spans="1:38" s="13" customFormat="1" ht="15.75" hidden="1" x14ac:dyDescent="0.25">
      <c r="A62" s="83">
        <v>52</v>
      </c>
      <c r="B62" s="86" t="s">
        <v>102</v>
      </c>
      <c r="C62" s="276" t="s">
        <v>13</v>
      </c>
      <c r="D62" s="87" t="s">
        <v>200</v>
      </c>
      <c r="E62" s="88">
        <v>47</v>
      </c>
      <c r="F62" s="88">
        <v>24</v>
      </c>
      <c r="G62" s="27">
        <f t="shared" si="21"/>
        <v>71</v>
      </c>
      <c r="H62" s="29">
        <f t="shared" si="22"/>
        <v>71</v>
      </c>
      <c r="I62" s="28" t="str">
        <f t="shared" si="23"/>
        <v>FCD</v>
      </c>
      <c r="J62" s="88">
        <v>49</v>
      </c>
      <c r="K62" s="88">
        <v>31</v>
      </c>
      <c r="L62" s="243">
        <f t="shared" si="24"/>
        <v>80</v>
      </c>
      <c r="M62" s="28">
        <f t="shared" si="36"/>
        <v>80</v>
      </c>
      <c r="N62" s="39" t="str">
        <f t="shared" si="25"/>
        <v>FCD</v>
      </c>
      <c r="O62" s="88">
        <v>50</v>
      </c>
      <c r="P62" s="88">
        <v>18</v>
      </c>
      <c r="Q62" s="247">
        <f t="shared" si="26"/>
        <v>68</v>
      </c>
      <c r="R62" s="28">
        <f t="shared" si="27"/>
        <v>68</v>
      </c>
      <c r="S62" s="25" t="str">
        <f t="shared" si="28"/>
        <v>FC</v>
      </c>
      <c r="T62" s="88">
        <v>94</v>
      </c>
      <c r="U62" s="88">
        <v>90</v>
      </c>
      <c r="V62" s="247">
        <f t="shared" si="5"/>
        <v>184</v>
      </c>
      <c r="W62" s="30">
        <f t="shared" si="15"/>
        <v>92</v>
      </c>
      <c r="X62" s="25" t="str">
        <f t="shared" si="29"/>
        <v>FCD</v>
      </c>
      <c r="Y62" s="88">
        <v>46</v>
      </c>
      <c r="Z62" s="88">
        <v>37</v>
      </c>
      <c r="AA62" s="252">
        <f t="shared" si="30"/>
        <v>83</v>
      </c>
      <c r="AB62" s="25">
        <f t="shared" si="31"/>
        <v>83</v>
      </c>
      <c r="AC62" s="23" t="str">
        <f t="shared" si="17"/>
        <v>FCD</v>
      </c>
      <c r="AD62" s="88">
        <v>48</v>
      </c>
      <c r="AE62" s="88">
        <v>31</v>
      </c>
      <c r="AF62" s="257">
        <f t="shared" si="32"/>
        <v>79</v>
      </c>
      <c r="AG62" s="25">
        <f t="shared" si="33"/>
        <v>79</v>
      </c>
      <c r="AH62" s="25" t="str">
        <f t="shared" si="34"/>
        <v>FCD</v>
      </c>
      <c r="AI62" s="257">
        <f t="shared" si="18"/>
        <v>565</v>
      </c>
      <c r="AJ62" s="261">
        <f t="shared" si="19"/>
        <v>80.714285714285722</v>
      </c>
      <c r="AK62" s="262" t="str">
        <f t="shared" si="35"/>
        <v>FCD</v>
      </c>
      <c r="AL62" s="134"/>
    </row>
    <row r="63" spans="1:38" s="13" customFormat="1" ht="15.75" hidden="1" x14ac:dyDescent="0.25">
      <c r="A63" s="83">
        <v>53</v>
      </c>
      <c r="B63" s="86" t="s">
        <v>103</v>
      </c>
      <c r="C63" s="276" t="s">
        <v>13</v>
      </c>
      <c r="D63" s="87" t="s">
        <v>201</v>
      </c>
      <c r="E63" s="88">
        <v>45</v>
      </c>
      <c r="F63" s="88">
        <v>27</v>
      </c>
      <c r="G63" s="27">
        <f t="shared" si="21"/>
        <v>72</v>
      </c>
      <c r="H63" s="29">
        <f t="shared" si="22"/>
        <v>72</v>
      </c>
      <c r="I63" s="28" t="str">
        <f t="shared" si="23"/>
        <v>FCD</v>
      </c>
      <c r="J63" s="88">
        <v>49</v>
      </c>
      <c r="K63" s="88">
        <v>27</v>
      </c>
      <c r="L63" s="243">
        <f t="shared" si="24"/>
        <v>76</v>
      </c>
      <c r="M63" s="28">
        <f t="shared" si="36"/>
        <v>76</v>
      </c>
      <c r="N63" s="39" t="str">
        <f t="shared" si="25"/>
        <v>FCD</v>
      </c>
      <c r="O63" s="88">
        <v>41</v>
      </c>
      <c r="P63" s="88">
        <v>24</v>
      </c>
      <c r="Q63" s="247">
        <f t="shared" si="26"/>
        <v>65</v>
      </c>
      <c r="R63" s="28">
        <f t="shared" si="27"/>
        <v>65</v>
      </c>
      <c r="S63" s="25" t="str">
        <f t="shared" si="28"/>
        <v>FC</v>
      </c>
      <c r="T63" s="88">
        <v>84</v>
      </c>
      <c r="U63" s="88">
        <v>91</v>
      </c>
      <c r="V63" s="247">
        <f t="shared" si="5"/>
        <v>175</v>
      </c>
      <c r="W63" s="30">
        <f t="shared" si="15"/>
        <v>87.5</v>
      </c>
      <c r="X63" s="25" t="str">
        <f t="shared" si="29"/>
        <v>FCD</v>
      </c>
      <c r="Y63" s="88">
        <v>48</v>
      </c>
      <c r="Z63" s="88">
        <v>31</v>
      </c>
      <c r="AA63" s="252">
        <f t="shared" si="30"/>
        <v>79</v>
      </c>
      <c r="AB63" s="25">
        <f t="shared" si="31"/>
        <v>79</v>
      </c>
      <c r="AC63" s="23" t="str">
        <f t="shared" si="17"/>
        <v>FCD</v>
      </c>
      <c r="AD63" s="88">
        <v>44</v>
      </c>
      <c r="AE63" s="88">
        <v>24</v>
      </c>
      <c r="AF63" s="257">
        <f t="shared" si="32"/>
        <v>68</v>
      </c>
      <c r="AG63" s="25">
        <f t="shared" si="33"/>
        <v>68</v>
      </c>
      <c r="AH63" s="25" t="str">
        <f t="shared" si="34"/>
        <v>FC</v>
      </c>
      <c r="AI63" s="257">
        <f t="shared" si="18"/>
        <v>535</v>
      </c>
      <c r="AJ63" s="261">
        <f t="shared" si="19"/>
        <v>76.428571428571416</v>
      </c>
      <c r="AK63" s="262" t="str">
        <f t="shared" si="35"/>
        <v>FCD</v>
      </c>
      <c r="AL63" s="134"/>
    </row>
    <row r="64" spans="1:38" s="13" customFormat="1" ht="15.75" hidden="1" x14ac:dyDescent="0.25">
      <c r="A64" s="83">
        <v>54</v>
      </c>
      <c r="B64" s="86" t="s">
        <v>104</v>
      </c>
      <c r="C64" s="276" t="s">
        <v>13</v>
      </c>
      <c r="D64" s="87" t="s">
        <v>202</v>
      </c>
      <c r="E64" s="88">
        <v>44</v>
      </c>
      <c r="F64" s="88">
        <v>25</v>
      </c>
      <c r="G64" s="27">
        <f t="shared" si="21"/>
        <v>69</v>
      </c>
      <c r="H64" s="29">
        <f t="shared" si="22"/>
        <v>69</v>
      </c>
      <c r="I64" s="28" t="str">
        <f t="shared" si="23"/>
        <v>FC</v>
      </c>
      <c r="J64" s="88">
        <v>49</v>
      </c>
      <c r="K64" s="88">
        <v>28</v>
      </c>
      <c r="L64" s="243">
        <f t="shared" si="24"/>
        <v>77</v>
      </c>
      <c r="M64" s="28">
        <f t="shared" si="36"/>
        <v>77</v>
      </c>
      <c r="N64" s="39" t="str">
        <f t="shared" si="25"/>
        <v>FCD</v>
      </c>
      <c r="O64" s="88">
        <v>41</v>
      </c>
      <c r="P64" s="88">
        <v>30</v>
      </c>
      <c r="Q64" s="247">
        <f t="shared" si="26"/>
        <v>71</v>
      </c>
      <c r="R64" s="28">
        <f t="shared" si="27"/>
        <v>71</v>
      </c>
      <c r="S64" s="25" t="str">
        <f t="shared" si="28"/>
        <v>FCD</v>
      </c>
      <c r="T64" s="88">
        <v>83</v>
      </c>
      <c r="U64" s="88">
        <v>91</v>
      </c>
      <c r="V64" s="247">
        <f t="shared" si="5"/>
        <v>174</v>
      </c>
      <c r="W64" s="30">
        <f t="shared" si="15"/>
        <v>87</v>
      </c>
      <c r="X64" s="25" t="str">
        <f t="shared" si="29"/>
        <v>FCD</v>
      </c>
      <c r="Y64" s="88">
        <v>48</v>
      </c>
      <c r="Z64" s="88">
        <v>35</v>
      </c>
      <c r="AA64" s="252">
        <f t="shared" si="30"/>
        <v>83</v>
      </c>
      <c r="AB64" s="25">
        <f t="shared" si="31"/>
        <v>83</v>
      </c>
      <c r="AC64" s="23" t="str">
        <f t="shared" si="17"/>
        <v>FCD</v>
      </c>
      <c r="AD64" s="88">
        <v>45</v>
      </c>
      <c r="AE64" s="88">
        <v>25</v>
      </c>
      <c r="AF64" s="257">
        <f t="shared" si="32"/>
        <v>70</v>
      </c>
      <c r="AG64" s="25">
        <f t="shared" si="33"/>
        <v>70</v>
      </c>
      <c r="AH64" s="25" t="str">
        <f t="shared" si="34"/>
        <v>FCD</v>
      </c>
      <c r="AI64" s="257">
        <f t="shared" si="18"/>
        <v>544</v>
      </c>
      <c r="AJ64" s="261">
        <f t="shared" si="19"/>
        <v>77.714285714285708</v>
      </c>
      <c r="AK64" s="262" t="str">
        <f t="shared" si="35"/>
        <v>FCD</v>
      </c>
      <c r="AL64" s="134"/>
    </row>
    <row r="65" spans="1:38" ht="15.75" hidden="1" x14ac:dyDescent="0.25">
      <c r="A65" s="83">
        <v>55</v>
      </c>
      <c r="B65" s="86" t="s">
        <v>105</v>
      </c>
      <c r="C65" s="276" t="s">
        <v>15</v>
      </c>
      <c r="D65" s="87" t="s">
        <v>203</v>
      </c>
      <c r="E65" s="88">
        <v>43</v>
      </c>
      <c r="F65" s="88">
        <v>18</v>
      </c>
      <c r="G65" s="27">
        <f t="shared" si="21"/>
        <v>61</v>
      </c>
      <c r="H65" s="29">
        <f t="shared" si="22"/>
        <v>61</v>
      </c>
      <c r="I65" s="28" t="str">
        <f t="shared" si="23"/>
        <v>FC</v>
      </c>
      <c r="J65" s="88">
        <v>47</v>
      </c>
      <c r="K65" s="88">
        <v>22</v>
      </c>
      <c r="L65" s="243">
        <f t="shared" si="24"/>
        <v>69</v>
      </c>
      <c r="M65" s="28">
        <f t="shared" si="36"/>
        <v>69</v>
      </c>
      <c r="N65" s="39" t="str">
        <f t="shared" si="25"/>
        <v>FC</v>
      </c>
      <c r="O65" s="88">
        <v>37</v>
      </c>
      <c r="P65" s="88">
        <v>29</v>
      </c>
      <c r="Q65" s="247">
        <f t="shared" si="26"/>
        <v>66</v>
      </c>
      <c r="R65" s="28">
        <f t="shared" si="27"/>
        <v>66</v>
      </c>
      <c r="S65" s="25" t="str">
        <f t="shared" si="28"/>
        <v>FC</v>
      </c>
      <c r="T65" s="88">
        <v>91</v>
      </c>
      <c r="U65" s="88">
        <v>80</v>
      </c>
      <c r="V65" s="247">
        <f t="shared" si="5"/>
        <v>171</v>
      </c>
      <c r="W65" s="30">
        <f t="shared" si="15"/>
        <v>85.5</v>
      </c>
      <c r="X65" s="25" t="str">
        <f t="shared" si="29"/>
        <v>FCD</v>
      </c>
      <c r="Y65" s="88">
        <v>47</v>
      </c>
      <c r="Z65" s="88">
        <v>20</v>
      </c>
      <c r="AA65" s="252">
        <f t="shared" si="30"/>
        <v>67</v>
      </c>
      <c r="AB65" s="25">
        <f t="shared" si="31"/>
        <v>67</v>
      </c>
      <c r="AC65" s="23" t="str">
        <f t="shared" si="17"/>
        <v>FC</v>
      </c>
      <c r="AD65" s="88">
        <v>33</v>
      </c>
      <c r="AE65" s="88">
        <v>29</v>
      </c>
      <c r="AF65" s="257">
        <f t="shared" si="32"/>
        <v>62</v>
      </c>
      <c r="AG65" s="25">
        <f t="shared" si="33"/>
        <v>62</v>
      </c>
      <c r="AH65" s="25" t="str">
        <f t="shared" si="34"/>
        <v>FC</v>
      </c>
      <c r="AI65" s="257">
        <f t="shared" si="18"/>
        <v>496</v>
      </c>
      <c r="AJ65" s="261">
        <f t="shared" si="19"/>
        <v>70.857142857142847</v>
      </c>
      <c r="AK65" s="262" t="str">
        <f t="shared" si="35"/>
        <v>FCD</v>
      </c>
      <c r="AL65" s="26"/>
    </row>
    <row r="66" spans="1:38" s="13" customFormat="1" ht="15.75" hidden="1" x14ac:dyDescent="0.25">
      <c r="A66" s="83">
        <v>56</v>
      </c>
      <c r="B66" s="86" t="s">
        <v>106</v>
      </c>
      <c r="C66" s="276" t="s">
        <v>13</v>
      </c>
      <c r="D66" s="87" t="s">
        <v>204</v>
      </c>
      <c r="E66" s="88">
        <v>45</v>
      </c>
      <c r="F66" s="88">
        <v>25</v>
      </c>
      <c r="G66" s="27">
        <f t="shared" si="21"/>
        <v>70</v>
      </c>
      <c r="H66" s="29">
        <f t="shared" si="22"/>
        <v>70</v>
      </c>
      <c r="I66" s="28" t="str">
        <f t="shared" si="23"/>
        <v>FCD</v>
      </c>
      <c r="J66" s="88">
        <v>50</v>
      </c>
      <c r="K66" s="88">
        <v>41</v>
      </c>
      <c r="L66" s="243">
        <f t="shared" si="24"/>
        <v>91</v>
      </c>
      <c r="M66" s="28">
        <f t="shared" si="36"/>
        <v>91</v>
      </c>
      <c r="N66" s="39" t="str">
        <f t="shared" si="25"/>
        <v>FCD</v>
      </c>
      <c r="O66" s="88">
        <v>48</v>
      </c>
      <c r="P66" s="88">
        <v>25</v>
      </c>
      <c r="Q66" s="247">
        <f t="shared" si="26"/>
        <v>73</v>
      </c>
      <c r="R66" s="28">
        <f t="shared" si="27"/>
        <v>73</v>
      </c>
      <c r="S66" s="25" t="str">
        <f t="shared" si="28"/>
        <v>FCD</v>
      </c>
      <c r="T66" s="88">
        <v>93</v>
      </c>
      <c r="U66" s="88">
        <v>93</v>
      </c>
      <c r="V66" s="247">
        <f t="shared" si="5"/>
        <v>186</v>
      </c>
      <c r="W66" s="30">
        <f t="shared" si="15"/>
        <v>93</v>
      </c>
      <c r="X66" s="25" t="str">
        <f t="shared" si="29"/>
        <v>FCD</v>
      </c>
      <c r="Y66" s="88">
        <v>49</v>
      </c>
      <c r="Z66" s="88">
        <v>37</v>
      </c>
      <c r="AA66" s="252">
        <f t="shared" si="30"/>
        <v>86</v>
      </c>
      <c r="AB66" s="25">
        <f t="shared" si="31"/>
        <v>86</v>
      </c>
      <c r="AC66" s="23" t="str">
        <f t="shared" si="17"/>
        <v>FCD</v>
      </c>
      <c r="AD66" s="88">
        <v>46</v>
      </c>
      <c r="AE66" s="88">
        <v>32</v>
      </c>
      <c r="AF66" s="257">
        <f t="shared" si="32"/>
        <v>78</v>
      </c>
      <c r="AG66" s="25">
        <f t="shared" si="33"/>
        <v>78</v>
      </c>
      <c r="AH66" s="25" t="str">
        <f t="shared" si="34"/>
        <v>FCD</v>
      </c>
      <c r="AI66" s="257">
        <f t="shared" si="18"/>
        <v>584</v>
      </c>
      <c r="AJ66" s="261">
        <f t="shared" si="19"/>
        <v>83.428571428571431</v>
      </c>
      <c r="AK66" s="262" t="str">
        <f t="shared" si="35"/>
        <v>FCD</v>
      </c>
      <c r="AL66" s="134"/>
    </row>
    <row r="67" spans="1:38" s="13" customFormat="1" ht="15.75" hidden="1" x14ac:dyDescent="0.25">
      <c r="A67" s="83">
        <v>57</v>
      </c>
      <c r="B67" s="86" t="s">
        <v>107</v>
      </c>
      <c r="C67" s="276" t="s">
        <v>13</v>
      </c>
      <c r="D67" s="87" t="s">
        <v>205</v>
      </c>
      <c r="E67" s="88">
        <v>47</v>
      </c>
      <c r="F67" s="88">
        <v>31</v>
      </c>
      <c r="G67" s="27">
        <f t="shared" si="21"/>
        <v>78</v>
      </c>
      <c r="H67" s="29">
        <f t="shared" si="22"/>
        <v>78</v>
      </c>
      <c r="I67" s="28" t="str">
        <f t="shared" si="23"/>
        <v>FCD</v>
      </c>
      <c r="J67" s="88">
        <v>50</v>
      </c>
      <c r="K67" s="88">
        <v>22</v>
      </c>
      <c r="L67" s="243">
        <f t="shared" si="24"/>
        <v>72</v>
      </c>
      <c r="M67" s="28">
        <f t="shared" si="36"/>
        <v>72</v>
      </c>
      <c r="N67" s="39" t="str">
        <f t="shared" si="25"/>
        <v>FCD</v>
      </c>
      <c r="O67" s="88">
        <v>48</v>
      </c>
      <c r="P67" s="88">
        <v>18</v>
      </c>
      <c r="Q67" s="247">
        <f t="shared" si="26"/>
        <v>66</v>
      </c>
      <c r="R67" s="28">
        <f t="shared" si="27"/>
        <v>66</v>
      </c>
      <c r="S67" s="25" t="str">
        <f t="shared" si="28"/>
        <v>FC</v>
      </c>
      <c r="T67" s="88">
        <v>84</v>
      </c>
      <c r="U67" s="88">
        <v>92</v>
      </c>
      <c r="V67" s="247">
        <f t="shared" si="5"/>
        <v>176</v>
      </c>
      <c r="W67" s="30">
        <f t="shared" si="15"/>
        <v>88</v>
      </c>
      <c r="X67" s="25" t="str">
        <f t="shared" si="29"/>
        <v>FCD</v>
      </c>
      <c r="Y67" s="88">
        <v>50</v>
      </c>
      <c r="Z67" s="88">
        <v>35</v>
      </c>
      <c r="AA67" s="252">
        <f t="shared" si="30"/>
        <v>85</v>
      </c>
      <c r="AB67" s="25">
        <f t="shared" si="31"/>
        <v>85</v>
      </c>
      <c r="AC67" s="23" t="str">
        <f t="shared" si="17"/>
        <v>FCD</v>
      </c>
      <c r="AD67" s="88">
        <v>47</v>
      </c>
      <c r="AE67" s="88">
        <v>24</v>
      </c>
      <c r="AF67" s="257">
        <f t="shared" si="32"/>
        <v>71</v>
      </c>
      <c r="AG67" s="25">
        <f t="shared" si="33"/>
        <v>71</v>
      </c>
      <c r="AH67" s="25" t="str">
        <f t="shared" si="34"/>
        <v>FCD</v>
      </c>
      <c r="AI67" s="257">
        <f t="shared" si="18"/>
        <v>548</v>
      </c>
      <c r="AJ67" s="261">
        <f t="shared" si="19"/>
        <v>78.285714285714278</v>
      </c>
      <c r="AK67" s="262" t="str">
        <f t="shared" si="35"/>
        <v>FCD</v>
      </c>
      <c r="AL67" s="134"/>
    </row>
    <row r="68" spans="1:38" s="13" customFormat="1" ht="15.75" hidden="1" x14ac:dyDescent="0.25">
      <c r="A68" s="170">
        <v>58</v>
      </c>
      <c r="B68" s="171" t="s">
        <v>108</v>
      </c>
      <c r="C68" s="280" t="s">
        <v>13</v>
      </c>
      <c r="D68" s="173" t="s">
        <v>206</v>
      </c>
      <c r="E68" s="174">
        <v>48</v>
      </c>
      <c r="F68" s="174">
        <v>38</v>
      </c>
      <c r="G68" s="175">
        <f t="shared" si="21"/>
        <v>86</v>
      </c>
      <c r="H68" s="176">
        <f t="shared" si="22"/>
        <v>86</v>
      </c>
      <c r="I68" s="177" t="str">
        <f t="shared" si="23"/>
        <v>FCD</v>
      </c>
      <c r="J68" s="174">
        <v>50</v>
      </c>
      <c r="K68" s="174">
        <v>36</v>
      </c>
      <c r="L68" s="246">
        <f t="shared" si="24"/>
        <v>86</v>
      </c>
      <c r="M68" s="178">
        <f t="shared" si="36"/>
        <v>86</v>
      </c>
      <c r="N68" s="179" t="str">
        <f t="shared" si="25"/>
        <v>FCD</v>
      </c>
      <c r="O68" s="174">
        <v>49</v>
      </c>
      <c r="P68" s="174">
        <v>42</v>
      </c>
      <c r="Q68" s="251">
        <f t="shared" si="26"/>
        <v>91</v>
      </c>
      <c r="R68" s="177">
        <f t="shared" si="27"/>
        <v>91</v>
      </c>
      <c r="S68" s="181" t="str">
        <f t="shared" si="28"/>
        <v>FCD</v>
      </c>
      <c r="T68" s="174">
        <v>94</v>
      </c>
      <c r="U68" s="174">
        <v>89</v>
      </c>
      <c r="V68" s="251">
        <f t="shared" si="5"/>
        <v>183</v>
      </c>
      <c r="W68" s="180">
        <f t="shared" si="15"/>
        <v>91.5</v>
      </c>
      <c r="X68" s="181" t="str">
        <f t="shared" si="29"/>
        <v>FCD</v>
      </c>
      <c r="Y68" s="174">
        <v>50</v>
      </c>
      <c r="Z68" s="174">
        <v>39</v>
      </c>
      <c r="AA68" s="256">
        <f t="shared" si="30"/>
        <v>89</v>
      </c>
      <c r="AB68" s="181">
        <f t="shared" si="31"/>
        <v>89</v>
      </c>
      <c r="AC68" s="23" t="str">
        <f t="shared" si="17"/>
        <v>FCD</v>
      </c>
      <c r="AD68" s="174">
        <v>48</v>
      </c>
      <c r="AE68" s="174">
        <v>25</v>
      </c>
      <c r="AF68" s="260">
        <f t="shared" si="32"/>
        <v>73</v>
      </c>
      <c r="AG68" s="181">
        <f t="shared" si="33"/>
        <v>73</v>
      </c>
      <c r="AH68" s="181" t="str">
        <f t="shared" si="34"/>
        <v>FCD</v>
      </c>
      <c r="AI68" s="257">
        <f t="shared" si="18"/>
        <v>608</v>
      </c>
      <c r="AJ68" s="261">
        <f t="shared" si="19"/>
        <v>86.857142857142861</v>
      </c>
      <c r="AK68" s="267" t="str">
        <f t="shared" si="35"/>
        <v>FCD</v>
      </c>
      <c r="AL68" s="134"/>
    </row>
    <row r="69" spans="1:38" s="13" customFormat="1" ht="15.75" hidden="1" x14ac:dyDescent="0.25">
      <c r="A69" s="83">
        <v>59</v>
      </c>
      <c r="B69" s="86" t="s">
        <v>109</v>
      </c>
      <c r="C69" s="276" t="s">
        <v>13</v>
      </c>
      <c r="D69" s="87" t="s">
        <v>207</v>
      </c>
      <c r="E69" s="88">
        <v>47</v>
      </c>
      <c r="F69" s="88">
        <v>41</v>
      </c>
      <c r="G69" s="27">
        <f t="shared" si="21"/>
        <v>88</v>
      </c>
      <c r="H69" s="29">
        <f t="shared" si="22"/>
        <v>88</v>
      </c>
      <c r="I69" s="28" t="str">
        <f t="shared" si="23"/>
        <v>FCD</v>
      </c>
      <c r="J69" s="88">
        <v>50</v>
      </c>
      <c r="K69" s="88">
        <v>34</v>
      </c>
      <c r="L69" s="243">
        <f t="shared" si="24"/>
        <v>84</v>
      </c>
      <c r="M69" s="28">
        <f t="shared" si="36"/>
        <v>84</v>
      </c>
      <c r="N69" s="39" t="str">
        <f t="shared" si="25"/>
        <v>FCD</v>
      </c>
      <c r="O69" s="88">
        <v>47</v>
      </c>
      <c r="P69" s="88">
        <v>38</v>
      </c>
      <c r="Q69" s="247">
        <f t="shared" si="26"/>
        <v>85</v>
      </c>
      <c r="R69" s="28">
        <f t="shared" si="27"/>
        <v>85</v>
      </c>
      <c r="S69" s="25" t="str">
        <f t="shared" si="28"/>
        <v>FCD</v>
      </c>
      <c r="T69" s="88">
        <v>95</v>
      </c>
      <c r="U69" s="88">
        <v>86</v>
      </c>
      <c r="V69" s="247">
        <f t="shared" si="5"/>
        <v>181</v>
      </c>
      <c r="W69" s="30">
        <f t="shared" si="15"/>
        <v>90.5</v>
      </c>
      <c r="X69" s="25" t="str">
        <f t="shared" si="29"/>
        <v>FCD</v>
      </c>
      <c r="Y69" s="88">
        <v>49</v>
      </c>
      <c r="Z69" s="88">
        <v>37</v>
      </c>
      <c r="AA69" s="252">
        <f t="shared" si="30"/>
        <v>86</v>
      </c>
      <c r="AB69" s="25">
        <f t="shared" si="31"/>
        <v>86</v>
      </c>
      <c r="AC69" s="23" t="str">
        <f t="shared" si="17"/>
        <v>FCD</v>
      </c>
      <c r="AD69" s="88">
        <v>46</v>
      </c>
      <c r="AE69" s="88">
        <v>35</v>
      </c>
      <c r="AF69" s="257">
        <f t="shared" si="32"/>
        <v>81</v>
      </c>
      <c r="AG69" s="25">
        <f t="shared" si="33"/>
        <v>81</v>
      </c>
      <c r="AH69" s="25" t="str">
        <f t="shared" si="34"/>
        <v>FCD</v>
      </c>
      <c r="AI69" s="257">
        <f t="shared" si="18"/>
        <v>605</v>
      </c>
      <c r="AJ69" s="261">
        <f t="shared" si="19"/>
        <v>86.428571428571431</v>
      </c>
      <c r="AK69" s="262" t="str">
        <f t="shared" si="35"/>
        <v>FCD</v>
      </c>
      <c r="AL69" s="134"/>
    </row>
    <row r="70" spans="1:38" ht="15.75" x14ac:dyDescent="0.25">
      <c r="A70" s="83">
        <v>61</v>
      </c>
      <c r="B70" s="86" t="s">
        <v>110</v>
      </c>
      <c r="C70" s="276" t="s">
        <v>15</v>
      </c>
      <c r="D70" s="87" t="s">
        <v>208</v>
      </c>
      <c r="E70" s="88">
        <v>43</v>
      </c>
      <c r="F70" s="88">
        <v>22</v>
      </c>
      <c r="G70" s="27">
        <f t="shared" si="21"/>
        <v>65</v>
      </c>
      <c r="H70" s="29">
        <f t="shared" si="22"/>
        <v>65</v>
      </c>
      <c r="I70" s="28" t="str">
        <f t="shared" si="23"/>
        <v>FC</v>
      </c>
      <c r="J70" s="88">
        <v>50</v>
      </c>
      <c r="K70" s="88">
        <v>27</v>
      </c>
      <c r="L70" s="243">
        <f t="shared" si="24"/>
        <v>77</v>
      </c>
      <c r="M70" s="28">
        <f t="shared" si="36"/>
        <v>77</v>
      </c>
      <c r="N70" s="39" t="str">
        <f t="shared" si="25"/>
        <v>FCD</v>
      </c>
      <c r="O70" s="88">
        <v>48</v>
      </c>
      <c r="P70" s="88">
        <v>34</v>
      </c>
      <c r="Q70" s="247">
        <f t="shared" ref="Q70:Q76" si="37">SUM(O70+P70)</f>
        <v>82</v>
      </c>
      <c r="R70" s="28">
        <f t="shared" si="27"/>
        <v>82</v>
      </c>
      <c r="S70" s="25" t="str">
        <f t="shared" ref="S70:S108" si="38">IF((P70&lt;18),"F",IF(AND(R70&gt;=70,R70&lt;100),"FCD",IF(AND(R70&gt;=60,R70&lt;70),"FC",IF(AND(R70&gt;=35,R70&lt;60),"SC",IF(AND(R70&gt;0,R70&gt;35),"F")))))</f>
        <v>FCD</v>
      </c>
      <c r="T70" s="88">
        <v>93</v>
      </c>
      <c r="U70" s="88">
        <v>97</v>
      </c>
      <c r="V70" s="247">
        <f t="shared" ref="V70:V108" si="39">SUM(T70+U70)</f>
        <v>190</v>
      </c>
      <c r="W70" s="30">
        <f t="shared" si="15"/>
        <v>95</v>
      </c>
      <c r="X70" s="25" t="str">
        <f t="shared" ref="X70:X108" si="40">IF((U70&lt;18),"F",IF(AND(W70&gt;=70,W70&lt;100),"FCD",IF(AND(W70&gt;=60,W70&lt;70),"FC",IF(AND(W70&gt;=35,W70&lt;60),"SC",IF(AND(W70&gt;0,W70&gt;35),"F")))))</f>
        <v>FCD</v>
      </c>
      <c r="Y70" s="88">
        <v>49</v>
      </c>
      <c r="Z70" s="88">
        <v>32</v>
      </c>
      <c r="AA70" s="252">
        <f t="shared" si="30"/>
        <v>81</v>
      </c>
      <c r="AB70" s="25">
        <f t="shared" si="31"/>
        <v>81</v>
      </c>
      <c r="AC70" s="23" t="str">
        <f t="shared" si="17"/>
        <v>FCD</v>
      </c>
      <c r="AD70" s="88">
        <v>48</v>
      </c>
      <c r="AE70" s="88">
        <v>31</v>
      </c>
      <c r="AF70" s="257">
        <f t="shared" si="32"/>
        <v>79</v>
      </c>
      <c r="AG70" s="25">
        <f t="shared" si="33"/>
        <v>79</v>
      </c>
      <c r="AH70" s="25" t="str">
        <f t="shared" si="34"/>
        <v>FCD</v>
      </c>
      <c r="AI70" s="257">
        <f t="shared" si="18"/>
        <v>574</v>
      </c>
      <c r="AJ70" s="261">
        <f t="shared" si="19"/>
        <v>82</v>
      </c>
      <c r="AK70" s="262" t="str">
        <f t="shared" si="35"/>
        <v>FCD</v>
      </c>
      <c r="AL70" s="26"/>
    </row>
    <row r="71" spans="1:38" s="13" customFormat="1" ht="15.75" hidden="1" x14ac:dyDescent="0.25">
      <c r="A71" s="83">
        <v>62</v>
      </c>
      <c r="B71" s="86" t="s">
        <v>111</v>
      </c>
      <c r="C71" s="276" t="s">
        <v>13</v>
      </c>
      <c r="D71" s="87" t="s">
        <v>209</v>
      </c>
      <c r="E71" s="88">
        <v>45</v>
      </c>
      <c r="F71" s="88">
        <v>27</v>
      </c>
      <c r="G71" s="27">
        <f t="shared" si="21"/>
        <v>72</v>
      </c>
      <c r="H71" s="29">
        <f t="shared" si="22"/>
        <v>72</v>
      </c>
      <c r="I71" s="28" t="str">
        <f t="shared" si="23"/>
        <v>FCD</v>
      </c>
      <c r="J71" s="88">
        <v>48</v>
      </c>
      <c r="K71" s="88">
        <v>18</v>
      </c>
      <c r="L71" s="243">
        <f t="shared" si="24"/>
        <v>66</v>
      </c>
      <c r="M71" s="28">
        <f t="shared" si="36"/>
        <v>66</v>
      </c>
      <c r="N71" s="39" t="str">
        <f t="shared" si="25"/>
        <v>FC</v>
      </c>
      <c r="O71" s="88">
        <v>39</v>
      </c>
      <c r="P71" s="88">
        <v>29</v>
      </c>
      <c r="Q71" s="247">
        <f t="shared" si="37"/>
        <v>68</v>
      </c>
      <c r="R71" s="28">
        <f t="shared" si="27"/>
        <v>68</v>
      </c>
      <c r="S71" s="25" t="str">
        <f t="shared" si="38"/>
        <v>FC</v>
      </c>
      <c r="T71" s="88">
        <v>93</v>
      </c>
      <c r="U71" s="88">
        <v>91</v>
      </c>
      <c r="V71" s="247">
        <f t="shared" si="39"/>
        <v>184</v>
      </c>
      <c r="W71" s="30">
        <f t="shared" si="15"/>
        <v>92</v>
      </c>
      <c r="X71" s="25" t="str">
        <f t="shared" si="40"/>
        <v>FCD</v>
      </c>
      <c r="Y71" s="88">
        <v>44</v>
      </c>
      <c r="Z71" s="88">
        <v>35</v>
      </c>
      <c r="AA71" s="252">
        <f t="shared" si="30"/>
        <v>79</v>
      </c>
      <c r="AB71" s="25">
        <f t="shared" si="31"/>
        <v>79</v>
      </c>
      <c r="AC71" s="23" t="str">
        <f t="shared" si="17"/>
        <v>FCD</v>
      </c>
      <c r="AD71" s="88">
        <v>48</v>
      </c>
      <c r="AE71" s="88">
        <v>23</v>
      </c>
      <c r="AF71" s="257">
        <f t="shared" si="32"/>
        <v>71</v>
      </c>
      <c r="AG71" s="25">
        <f t="shared" si="33"/>
        <v>71</v>
      </c>
      <c r="AH71" s="25" t="str">
        <f t="shared" si="34"/>
        <v>FCD</v>
      </c>
      <c r="AI71" s="257">
        <f t="shared" si="18"/>
        <v>540</v>
      </c>
      <c r="AJ71" s="261">
        <f t="shared" si="19"/>
        <v>77.142857142857153</v>
      </c>
      <c r="AK71" s="262" t="str">
        <f t="shared" si="35"/>
        <v>FCD</v>
      </c>
      <c r="AL71" s="134"/>
    </row>
    <row r="72" spans="1:38" s="13" customFormat="1" ht="15.75" hidden="1" x14ac:dyDescent="0.25">
      <c r="A72" s="83">
        <v>63</v>
      </c>
      <c r="B72" s="86" t="s">
        <v>112</v>
      </c>
      <c r="C72" s="276" t="s">
        <v>13</v>
      </c>
      <c r="D72" s="87" t="s">
        <v>210</v>
      </c>
      <c r="E72" s="88">
        <v>46</v>
      </c>
      <c r="F72" s="88">
        <v>34</v>
      </c>
      <c r="G72" s="27">
        <f t="shared" si="21"/>
        <v>80</v>
      </c>
      <c r="H72" s="29">
        <f t="shared" si="22"/>
        <v>80</v>
      </c>
      <c r="I72" s="28" t="str">
        <f t="shared" si="23"/>
        <v>FCD</v>
      </c>
      <c r="J72" s="88">
        <v>49</v>
      </c>
      <c r="K72" s="88">
        <v>24</v>
      </c>
      <c r="L72" s="243">
        <f t="shared" si="24"/>
        <v>73</v>
      </c>
      <c r="M72" s="28">
        <f t="shared" si="36"/>
        <v>73</v>
      </c>
      <c r="N72" s="39" t="str">
        <f t="shared" si="25"/>
        <v>FCD</v>
      </c>
      <c r="O72" s="88">
        <v>41</v>
      </c>
      <c r="P72" s="88">
        <v>21</v>
      </c>
      <c r="Q72" s="247">
        <f t="shared" si="37"/>
        <v>62</v>
      </c>
      <c r="R72" s="28">
        <f t="shared" si="27"/>
        <v>62</v>
      </c>
      <c r="S72" s="25" t="str">
        <f t="shared" si="38"/>
        <v>FC</v>
      </c>
      <c r="T72" s="88">
        <v>92</v>
      </c>
      <c r="U72" s="88">
        <v>91</v>
      </c>
      <c r="V72" s="247">
        <f t="shared" si="39"/>
        <v>183</v>
      </c>
      <c r="W72" s="30">
        <f t="shared" si="15"/>
        <v>91.5</v>
      </c>
      <c r="X72" s="25" t="str">
        <f t="shared" si="40"/>
        <v>FCD</v>
      </c>
      <c r="Y72" s="88">
        <v>48</v>
      </c>
      <c r="Z72" s="88">
        <v>30</v>
      </c>
      <c r="AA72" s="252">
        <f t="shared" si="30"/>
        <v>78</v>
      </c>
      <c r="AB72" s="25">
        <f t="shared" si="31"/>
        <v>78</v>
      </c>
      <c r="AC72" s="23" t="str">
        <f t="shared" si="17"/>
        <v>FCD</v>
      </c>
      <c r="AD72" s="88">
        <v>45</v>
      </c>
      <c r="AE72" s="88">
        <v>23</v>
      </c>
      <c r="AF72" s="257">
        <f t="shared" si="32"/>
        <v>68</v>
      </c>
      <c r="AG72" s="25">
        <f t="shared" si="33"/>
        <v>68</v>
      </c>
      <c r="AH72" s="25" t="str">
        <f t="shared" si="34"/>
        <v>FC</v>
      </c>
      <c r="AI72" s="257">
        <f t="shared" si="18"/>
        <v>544</v>
      </c>
      <c r="AJ72" s="261">
        <f t="shared" si="19"/>
        <v>77.714285714285708</v>
      </c>
      <c r="AK72" s="262" t="str">
        <f t="shared" si="35"/>
        <v>FCD</v>
      </c>
      <c r="AL72" s="134"/>
    </row>
    <row r="73" spans="1:38" s="13" customFormat="1" ht="15.75" hidden="1" x14ac:dyDescent="0.25">
      <c r="A73" s="83">
        <v>64</v>
      </c>
      <c r="B73" s="86" t="s">
        <v>113</v>
      </c>
      <c r="C73" s="276" t="s">
        <v>13</v>
      </c>
      <c r="D73" s="87" t="s">
        <v>211</v>
      </c>
      <c r="E73" s="88">
        <v>45</v>
      </c>
      <c r="F73" s="88">
        <v>21</v>
      </c>
      <c r="G73" s="27">
        <f t="shared" si="21"/>
        <v>66</v>
      </c>
      <c r="H73" s="29">
        <f t="shared" si="22"/>
        <v>66</v>
      </c>
      <c r="I73" s="28" t="str">
        <f t="shared" si="23"/>
        <v>FC</v>
      </c>
      <c r="J73" s="88">
        <v>50</v>
      </c>
      <c r="K73" s="88">
        <v>32</v>
      </c>
      <c r="L73" s="243">
        <f t="shared" si="24"/>
        <v>82</v>
      </c>
      <c r="M73" s="28">
        <f t="shared" si="36"/>
        <v>82</v>
      </c>
      <c r="N73" s="39" t="str">
        <f t="shared" si="25"/>
        <v>FCD</v>
      </c>
      <c r="O73" s="88">
        <v>47</v>
      </c>
      <c r="P73" s="88">
        <v>31</v>
      </c>
      <c r="Q73" s="250">
        <f t="shared" si="37"/>
        <v>78</v>
      </c>
      <c r="R73" s="31">
        <f t="shared" si="27"/>
        <v>78</v>
      </c>
      <c r="S73" s="33" t="str">
        <f t="shared" si="38"/>
        <v>FCD</v>
      </c>
      <c r="T73" s="88">
        <v>93</v>
      </c>
      <c r="U73" s="88">
        <v>91</v>
      </c>
      <c r="V73" s="247">
        <f t="shared" si="39"/>
        <v>184</v>
      </c>
      <c r="W73" s="30">
        <f t="shared" si="15"/>
        <v>92</v>
      </c>
      <c r="X73" s="25" t="str">
        <f t="shared" si="40"/>
        <v>FCD</v>
      </c>
      <c r="Y73" s="88">
        <v>49</v>
      </c>
      <c r="Z73" s="88">
        <v>35</v>
      </c>
      <c r="AA73" s="252">
        <f t="shared" si="30"/>
        <v>84</v>
      </c>
      <c r="AB73" s="25">
        <f t="shared" si="31"/>
        <v>84</v>
      </c>
      <c r="AC73" s="23" t="str">
        <f t="shared" si="17"/>
        <v>FCD</v>
      </c>
      <c r="AD73" s="88">
        <v>47</v>
      </c>
      <c r="AE73" s="88">
        <v>39</v>
      </c>
      <c r="AF73" s="257">
        <f t="shared" si="32"/>
        <v>86</v>
      </c>
      <c r="AG73" s="25">
        <f t="shared" si="33"/>
        <v>86</v>
      </c>
      <c r="AH73" s="25" t="str">
        <f t="shared" si="34"/>
        <v>FCD</v>
      </c>
      <c r="AI73" s="257">
        <f t="shared" si="18"/>
        <v>580</v>
      </c>
      <c r="AJ73" s="261">
        <f t="shared" si="19"/>
        <v>82.857142857142861</v>
      </c>
      <c r="AK73" s="262" t="str">
        <f t="shared" si="35"/>
        <v>FCD</v>
      </c>
      <c r="AL73" s="134"/>
    </row>
    <row r="74" spans="1:38" s="13" customFormat="1" ht="15.75" hidden="1" x14ac:dyDescent="0.25">
      <c r="A74" s="83">
        <v>65</v>
      </c>
      <c r="B74" s="86" t="s">
        <v>114</v>
      </c>
      <c r="C74" s="276" t="s">
        <v>15</v>
      </c>
      <c r="D74" s="87" t="s">
        <v>212</v>
      </c>
      <c r="E74" s="88">
        <v>38</v>
      </c>
      <c r="F74" s="88">
        <v>22</v>
      </c>
      <c r="G74" s="27">
        <f t="shared" si="21"/>
        <v>60</v>
      </c>
      <c r="H74" s="29">
        <f t="shared" si="22"/>
        <v>60</v>
      </c>
      <c r="I74" s="28" t="str">
        <f t="shared" si="23"/>
        <v>FC</v>
      </c>
      <c r="J74" s="88">
        <v>48</v>
      </c>
      <c r="K74" s="88">
        <v>22</v>
      </c>
      <c r="L74" s="243">
        <f t="shared" si="24"/>
        <v>70</v>
      </c>
      <c r="M74" s="28">
        <f t="shared" si="36"/>
        <v>70</v>
      </c>
      <c r="N74" s="39" t="str">
        <f t="shared" si="25"/>
        <v>FCD</v>
      </c>
      <c r="O74" s="136">
        <v>31</v>
      </c>
      <c r="P74" s="136">
        <v>14</v>
      </c>
      <c r="Q74" s="250">
        <f t="shared" si="37"/>
        <v>45</v>
      </c>
      <c r="R74" s="31">
        <f t="shared" si="27"/>
        <v>45</v>
      </c>
      <c r="S74" s="33" t="str">
        <f t="shared" si="38"/>
        <v>F</v>
      </c>
      <c r="T74" s="88">
        <v>84</v>
      </c>
      <c r="U74" s="88">
        <v>85</v>
      </c>
      <c r="V74" s="247">
        <f t="shared" si="39"/>
        <v>169</v>
      </c>
      <c r="W74" s="30">
        <f t="shared" si="15"/>
        <v>84.5</v>
      </c>
      <c r="X74" s="25" t="str">
        <f t="shared" si="40"/>
        <v>FCD</v>
      </c>
      <c r="Y74" s="88">
        <v>39</v>
      </c>
      <c r="Z74" s="88">
        <v>32</v>
      </c>
      <c r="AA74" s="252">
        <f t="shared" si="30"/>
        <v>71</v>
      </c>
      <c r="AB74" s="25">
        <f t="shared" si="31"/>
        <v>71</v>
      </c>
      <c r="AC74" s="23" t="str">
        <f t="shared" si="17"/>
        <v>FCD</v>
      </c>
      <c r="AD74" s="88">
        <v>39</v>
      </c>
      <c r="AE74" s="88">
        <v>29</v>
      </c>
      <c r="AF74" s="257">
        <f t="shared" si="32"/>
        <v>68</v>
      </c>
      <c r="AG74" s="25">
        <f t="shared" si="33"/>
        <v>68</v>
      </c>
      <c r="AH74" s="25" t="str">
        <f t="shared" si="34"/>
        <v>FC</v>
      </c>
      <c r="AI74" s="257">
        <f t="shared" si="18"/>
        <v>483</v>
      </c>
      <c r="AJ74" s="261">
        <f t="shared" si="19"/>
        <v>69</v>
      </c>
      <c r="AK74" s="266" t="s">
        <v>322</v>
      </c>
      <c r="AL74" s="134"/>
    </row>
    <row r="75" spans="1:38" ht="15.75" hidden="1" x14ac:dyDescent="0.25">
      <c r="A75" s="83">
        <v>66</v>
      </c>
      <c r="B75" s="86" t="s">
        <v>115</v>
      </c>
      <c r="C75" s="276" t="s">
        <v>13</v>
      </c>
      <c r="D75" s="87" t="s">
        <v>213</v>
      </c>
      <c r="E75" s="88">
        <v>47</v>
      </c>
      <c r="F75" s="88">
        <v>28</v>
      </c>
      <c r="G75" s="27">
        <f t="shared" ref="G75:G76" si="41">SUM(E75+F75)</f>
        <v>75</v>
      </c>
      <c r="H75" s="29">
        <f t="shared" ref="H75:H108" si="42">AVERAGE(G75)</f>
        <v>75</v>
      </c>
      <c r="I75" s="28" t="str">
        <f t="shared" ref="I75:I108" si="43">IF((F75&lt;18),"F",IF(AND(H75&gt;=70,H75&lt;100),"FCD",IF(AND(H75&gt;=60,H75&lt;70),"FC",IF(AND(H75&gt;=35,H75&lt;60),"SC",IF(AND(H75&gt;0,H75&gt;35),"F")))))</f>
        <v>FCD</v>
      </c>
      <c r="J75" s="88">
        <v>49</v>
      </c>
      <c r="K75" s="88">
        <v>27</v>
      </c>
      <c r="L75" s="243">
        <f t="shared" ref="L75:L108" si="44">SUM(J75+K75)</f>
        <v>76</v>
      </c>
      <c r="M75" s="28">
        <f t="shared" ref="M75:M108" si="45">AVERAGE(L75)</f>
        <v>76</v>
      </c>
      <c r="N75" s="39" t="str">
        <f t="shared" ref="N75:N108" si="46">IF((K75&lt;18),"F",IF(AND(M75&gt;=70,M75&lt;100),"FCD",IF(AND(M75&gt;=60,M75&lt;70),"FC",IF(AND(M75&gt;=35,M75&lt;60),"SC",IF(AND(M75&gt;0,M75&gt;35),"F")))))</f>
        <v>FCD</v>
      </c>
      <c r="O75" s="88">
        <v>50</v>
      </c>
      <c r="P75" s="88">
        <v>30</v>
      </c>
      <c r="Q75" s="247">
        <f t="shared" si="37"/>
        <v>80</v>
      </c>
      <c r="R75" s="28">
        <f t="shared" ref="R75:R108" si="47">AVERAGE(Q75)</f>
        <v>80</v>
      </c>
      <c r="S75" s="25" t="str">
        <f t="shared" si="38"/>
        <v>FCD</v>
      </c>
      <c r="T75" s="88">
        <v>93</v>
      </c>
      <c r="U75" s="88">
        <v>80</v>
      </c>
      <c r="V75" s="247">
        <f t="shared" si="39"/>
        <v>173</v>
      </c>
      <c r="W75" s="30">
        <f t="shared" ref="W75:W76" si="48">AVERAGE(V75/2)</f>
        <v>86.5</v>
      </c>
      <c r="X75" s="25" t="str">
        <f t="shared" si="40"/>
        <v>FCD</v>
      </c>
      <c r="Y75" s="88">
        <v>49</v>
      </c>
      <c r="Z75" s="88">
        <v>41</v>
      </c>
      <c r="AA75" s="252">
        <f t="shared" ref="AA75:AA108" si="49">SUM(Y75+Z75)</f>
        <v>90</v>
      </c>
      <c r="AB75" s="25">
        <f t="shared" ref="AB75:AB108" si="50">AVERAGE(AA75)</f>
        <v>90</v>
      </c>
      <c r="AC75" s="23" t="str">
        <f t="shared" si="17"/>
        <v>FCD</v>
      </c>
      <c r="AD75" s="88">
        <v>48</v>
      </c>
      <c r="AE75" s="88">
        <v>36</v>
      </c>
      <c r="AF75" s="257">
        <f t="shared" ref="AF75:AF76" si="51">SUM(AD75+AE75)</f>
        <v>84</v>
      </c>
      <c r="AG75" s="25">
        <f t="shared" ref="AG75:AG108" si="52">AVERAGE(AF75)</f>
        <v>84</v>
      </c>
      <c r="AH75" s="25" t="str">
        <f t="shared" ref="AH75:AH108" si="53">IF((AE75&lt;18),"F",IF(AND(AG75&gt;=70,AG75&lt;100),"FCD",IF(AND(AG75&gt;=60,AG75&lt;70),"FC",IF(AND(AG75&gt;=35,AG75&lt;60),"SC",IF(AND(AG75&gt;0,AG75&gt;35),"F")))))</f>
        <v>FCD</v>
      </c>
      <c r="AI75" s="257">
        <f t="shared" si="18"/>
        <v>578</v>
      </c>
      <c r="AJ75" s="261">
        <f t="shared" si="19"/>
        <v>82.571428571428569</v>
      </c>
      <c r="AK75" s="262" t="str">
        <f t="shared" ref="AK75:AK108" si="54">IF(AND(AJ75&gt;=70,AJ75&lt;100),"FCD",IF(AND(AJ75&gt;=60,AJ75&lt;70),"FC",IF(AND(AJ75&gt;=35,AJ75&lt;60)," SC",IF(AND(AJ75&gt;0,AJ75&lt;35),"FAIL"))))</f>
        <v>FCD</v>
      </c>
      <c r="AL75" s="26"/>
    </row>
    <row r="76" spans="1:38" s="13" customFormat="1" ht="15.75" x14ac:dyDescent="0.25">
      <c r="A76" s="83">
        <v>67</v>
      </c>
      <c r="B76" s="86" t="s">
        <v>116</v>
      </c>
      <c r="C76" s="276" t="s">
        <v>15</v>
      </c>
      <c r="D76" s="88" t="s">
        <v>214</v>
      </c>
      <c r="E76" s="88">
        <v>47</v>
      </c>
      <c r="F76" s="88">
        <v>33</v>
      </c>
      <c r="G76" s="27">
        <f t="shared" si="41"/>
        <v>80</v>
      </c>
      <c r="H76" s="29">
        <f t="shared" si="42"/>
        <v>80</v>
      </c>
      <c r="I76" s="28" t="str">
        <f t="shared" si="43"/>
        <v>FCD</v>
      </c>
      <c r="J76" s="88">
        <v>49</v>
      </c>
      <c r="K76" s="88">
        <v>36</v>
      </c>
      <c r="L76" s="243">
        <f t="shared" si="44"/>
        <v>85</v>
      </c>
      <c r="M76" s="28">
        <f t="shared" si="45"/>
        <v>85</v>
      </c>
      <c r="N76" s="39" t="str">
        <f t="shared" si="46"/>
        <v>FCD</v>
      </c>
      <c r="O76" s="88">
        <v>50</v>
      </c>
      <c r="P76" s="88">
        <v>32</v>
      </c>
      <c r="Q76" s="247">
        <f t="shared" si="37"/>
        <v>82</v>
      </c>
      <c r="R76" s="28">
        <f t="shared" si="47"/>
        <v>82</v>
      </c>
      <c r="S76" s="25" t="str">
        <f t="shared" si="38"/>
        <v>FCD</v>
      </c>
      <c r="T76" s="88">
        <v>93</v>
      </c>
      <c r="U76" s="88">
        <v>87</v>
      </c>
      <c r="V76" s="247">
        <f t="shared" si="39"/>
        <v>180</v>
      </c>
      <c r="W76" s="30">
        <f t="shared" si="48"/>
        <v>90</v>
      </c>
      <c r="X76" s="25" t="str">
        <f t="shared" si="40"/>
        <v>FCD</v>
      </c>
      <c r="Y76" s="88">
        <v>50</v>
      </c>
      <c r="Z76" s="88">
        <v>36</v>
      </c>
      <c r="AA76" s="252">
        <f t="shared" si="49"/>
        <v>86</v>
      </c>
      <c r="AB76" s="25">
        <f t="shared" si="50"/>
        <v>86</v>
      </c>
      <c r="AC76" s="23" t="str">
        <f t="shared" ref="AC76" si="55">IF((Z76&lt;18),"F",IF(AND(AB76&gt;=70,AB76&lt;100),"FCD",IF(AND(AB76&gt;=60,AB76&lt;70),"FC",IF(AND(AB76&gt;=35,AB76&lt;60),"SC",IF(AND(AB76&gt;0,AB76&gt;35),"F")))))</f>
        <v>FCD</v>
      </c>
      <c r="AD76" s="88">
        <v>47</v>
      </c>
      <c r="AE76" s="88">
        <v>25</v>
      </c>
      <c r="AF76" s="257">
        <f t="shared" si="51"/>
        <v>72</v>
      </c>
      <c r="AG76" s="25">
        <f t="shared" si="52"/>
        <v>72</v>
      </c>
      <c r="AH76" s="25" t="str">
        <f t="shared" si="53"/>
        <v>FCD</v>
      </c>
      <c r="AI76" s="257">
        <f t="shared" ref="AI76" si="56">SUM(G76,L76,Q76,V76,AA76,AF76)</f>
        <v>585</v>
      </c>
      <c r="AJ76" s="261">
        <f t="shared" ref="AJ76" si="57">(AI76/700*100)</f>
        <v>83.571428571428569</v>
      </c>
      <c r="AK76" s="262" t="str">
        <f t="shared" si="54"/>
        <v>FCD</v>
      </c>
      <c r="AL76" s="134"/>
    </row>
    <row r="77" spans="1:38" ht="15.75" x14ac:dyDescent="0.25">
      <c r="A77" s="83">
        <v>68</v>
      </c>
      <c r="B77" s="86" t="s">
        <v>117</v>
      </c>
      <c r="C77" s="276" t="s">
        <v>15</v>
      </c>
      <c r="D77" s="88" t="s">
        <v>215</v>
      </c>
      <c r="E77" s="88">
        <v>43</v>
      </c>
      <c r="F77" s="88">
        <v>31</v>
      </c>
      <c r="G77" s="27">
        <f t="shared" ref="G77:G108" si="58">SUM(E77+F77)</f>
        <v>74</v>
      </c>
      <c r="H77" s="29">
        <f t="shared" si="42"/>
        <v>74</v>
      </c>
      <c r="I77" s="28" t="str">
        <f t="shared" si="43"/>
        <v>FCD</v>
      </c>
      <c r="J77" s="88">
        <v>48</v>
      </c>
      <c r="K77" s="88">
        <v>26</v>
      </c>
      <c r="L77" s="247">
        <f t="shared" si="44"/>
        <v>74</v>
      </c>
      <c r="M77" s="28">
        <f t="shared" si="45"/>
        <v>74</v>
      </c>
      <c r="N77" s="39" t="str">
        <f t="shared" si="46"/>
        <v>FCD</v>
      </c>
      <c r="O77" s="88">
        <v>44</v>
      </c>
      <c r="P77" s="88">
        <v>41</v>
      </c>
      <c r="Q77" s="247">
        <f t="shared" ref="Q77:Q108" si="59">SUM(O77+P77)</f>
        <v>85</v>
      </c>
      <c r="R77" s="28">
        <f t="shared" si="47"/>
        <v>85</v>
      </c>
      <c r="S77" s="25" t="str">
        <f t="shared" si="38"/>
        <v>FCD</v>
      </c>
      <c r="T77" s="88">
        <v>92</v>
      </c>
      <c r="U77" s="88">
        <v>89</v>
      </c>
      <c r="V77" s="247">
        <f t="shared" si="39"/>
        <v>181</v>
      </c>
      <c r="W77" s="30">
        <f>AVERAGE(V77/2)</f>
        <v>90.5</v>
      </c>
      <c r="X77" s="25" t="str">
        <f t="shared" si="40"/>
        <v>FCD</v>
      </c>
      <c r="Y77" s="88">
        <v>49</v>
      </c>
      <c r="Z77" s="88">
        <v>37</v>
      </c>
      <c r="AA77" s="257">
        <f t="shared" si="49"/>
        <v>86</v>
      </c>
      <c r="AB77" s="25">
        <f t="shared" si="50"/>
        <v>86</v>
      </c>
      <c r="AC77" s="25" t="str">
        <f>IF((AB77&lt;18),"F",IF(AND(AB77&gt;=70,AB77&lt;100),"FCD",IF(AND(AB77&gt;=60,AB77&lt;70),"FC",IF(AND(AB77&gt;=35,AB77&lt;60),"SC",IF(AND(AB77&gt;0,AB77&gt;35),"F")))))</f>
        <v>FCD</v>
      </c>
      <c r="AD77" s="88">
        <v>39</v>
      </c>
      <c r="AE77" s="88">
        <v>34</v>
      </c>
      <c r="AF77" s="257">
        <f t="shared" ref="AF77:AF108" si="60">SUM(AD77+AE77)</f>
        <v>73</v>
      </c>
      <c r="AG77" s="25">
        <f t="shared" si="52"/>
        <v>73</v>
      </c>
      <c r="AH77" s="25" t="str">
        <f t="shared" si="53"/>
        <v>FCD</v>
      </c>
      <c r="AI77" s="257">
        <f>SUM(G77,L77,Q77,V77,AA77,AF77)</f>
        <v>573</v>
      </c>
      <c r="AJ77" s="261">
        <f>(G77+L77+Q77+V77+AA77+AF77)*100/700</f>
        <v>81.857142857142861</v>
      </c>
      <c r="AK77" s="262" t="str">
        <f t="shared" si="54"/>
        <v>FCD</v>
      </c>
      <c r="AL77" s="26"/>
    </row>
    <row r="78" spans="1:38" ht="15.75" x14ac:dyDescent="0.25">
      <c r="A78" s="83">
        <v>69</v>
      </c>
      <c r="B78" s="86" t="s">
        <v>118</v>
      </c>
      <c r="C78" s="276" t="s">
        <v>15</v>
      </c>
      <c r="D78" s="88" t="s">
        <v>216</v>
      </c>
      <c r="E78" s="88">
        <v>44</v>
      </c>
      <c r="F78" s="88">
        <v>25</v>
      </c>
      <c r="G78" s="27">
        <f t="shared" si="58"/>
        <v>69</v>
      </c>
      <c r="H78" s="29">
        <f t="shared" si="42"/>
        <v>69</v>
      </c>
      <c r="I78" s="28" t="str">
        <f t="shared" si="43"/>
        <v>FC</v>
      </c>
      <c r="J78" s="88">
        <v>49</v>
      </c>
      <c r="K78" s="88">
        <v>25</v>
      </c>
      <c r="L78" s="247">
        <f t="shared" si="44"/>
        <v>74</v>
      </c>
      <c r="M78" s="28">
        <f t="shared" si="45"/>
        <v>74</v>
      </c>
      <c r="N78" s="39" t="str">
        <f>IF((K77&lt;18),"F",IF(AND(M78&gt;=70,M78&lt;100),"FCD",IF(AND(M78&gt;=60,M78&lt;70),"FC",IF(AND(M78&gt;=35,M78&lt;60),"SC",IF(AND(M78&gt;0,M78&gt;35),"F")))))</f>
        <v>FCD</v>
      </c>
      <c r="O78" s="88">
        <v>42</v>
      </c>
      <c r="P78" s="88">
        <v>22</v>
      </c>
      <c r="Q78" s="247">
        <f t="shared" si="59"/>
        <v>64</v>
      </c>
      <c r="R78" s="28">
        <f t="shared" si="47"/>
        <v>64</v>
      </c>
      <c r="S78" s="25" t="str">
        <f t="shared" si="38"/>
        <v>FC</v>
      </c>
      <c r="T78" s="88">
        <v>92</v>
      </c>
      <c r="U78" s="88">
        <v>91</v>
      </c>
      <c r="V78" s="247">
        <f t="shared" si="39"/>
        <v>183</v>
      </c>
      <c r="W78" s="30">
        <f t="shared" ref="W78:W108" si="61">AVERAGE(V78/2)</f>
        <v>91.5</v>
      </c>
      <c r="X78" s="25" t="str">
        <f t="shared" si="40"/>
        <v>FCD</v>
      </c>
      <c r="Y78" s="88">
        <v>47</v>
      </c>
      <c r="Z78" s="88">
        <v>33</v>
      </c>
      <c r="AA78" s="257">
        <f t="shared" si="49"/>
        <v>80</v>
      </c>
      <c r="AB78" s="25">
        <f t="shared" si="50"/>
        <v>80</v>
      </c>
      <c r="AC78" s="25" t="str">
        <f t="shared" ref="AC78:AC108" si="62">IF((AB78&lt;18),"F",IF(AND(AB78&gt;=70,AB78&lt;100),"FCD",IF(AND(AB78&gt;=60,AB78&lt;70),"FC",IF(AND(AB78&gt;=35,AB78&lt;60),"SC",IF(AND(AB78&gt;0,AB78&gt;35),"F")))))</f>
        <v>FCD</v>
      </c>
      <c r="AD78" s="88">
        <v>44</v>
      </c>
      <c r="AE78" s="88">
        <v>36</v>
      </c>
      <c r="AF78" s="257">
        <f t="shared" si="60"/>
        <v>80</v>
      </c>
      <c r="AG78" s="25">
        <f t="shared" si="52"/>
        <v>80</v>
      </c>
      <c r="AH78" s="25" t="str">
        <f t="shared" si="53"/>
        <v>FCD</v>
      </c>
      <c r="AI78" s="257">
        <f t="shared" ref="AI78:AI108" si="63">SUM(G78,L78,Q78,V78,AA78,AF78)</f>
        <v>550</v>
      </c>
      <c r="AJ78" s="261">
        <f t="shared" ref="AJ78:AJ108" si="64">(G78+L78+Q78+V78+AA78+AF78)*100/700</f>
        <v>78.571428571428569</v>
      </c>
      <c r="AK78" s="262" t="str">
        <f t="shared" si="54"/>
        <v>FCD</v>
      </c>
    </row>
    <row r="79" spans="1:38" ht="15.75" hidden="1" x14ac:dyDescent="0.25">
      <c r="A79" s="83">
        <v>70</v>
      </c>
      <c r="B79" s="86" t="s">
        <v>119</v>
      </c>
      <c r="C79" s="276" t="s">
        <v>13</v>
      </c>
      <c r="D79" s="88" t="s">
        <v>217</v>
      </c>
      <c r="E79" s="88">
        <v>44</v>
      </c>
      <c r="F79" s="88">
        <v>22</v>
      </c>
      <c r="G79" s="27">
        <f t="shared" si="58"/>
        <v>66</v>
      </c>
      <c r="H79" s="29">
        <f t="shared" si="42"/>
        <v>66</v>
      </c>
      <c r="I79" s="28" t="str">
        <f t="shared" si="43"/>
        <v>FC</v>
      </c>
      <c r="J79" s="88">
        <v>50</v>
      </c>
      <c r="K79" s="88">
        <v>24</v>
      </c>
      <c r="L79" s="247">
        <f t="shared" si="44"/>
        <v>74</v>
      </c>
      <c r="M79" s="28">
        <f t="shared" si="45"/>
        <v>74</v>
      </c>
      <c r="N79" s="39" t="str">
        <f t="shared" si="46"/>
        <v>FCD</v>
      </c>
      <c r="O79" s="88">
        <v>49</v>
      </c>
      <c r="P79" s="88">
        <v>33</v>
      </c>
      <c r="Q79" s="247">
        <f t="shared" si="59"/>
        <v>82</v>
      </c>
      <c r="R79" s="28">
        <f t="shared" si="47"/>
        <v>82</v>
      </c>
      <c r="S79" s="25" t="str">
        <f t="shared" si="38"/>
        <v>FCD</v>
      </c>
      <c r="T79" s="88">
        <v>83</v>
      </c>
      <c r="U79" s="88">
        <v>88</v>
      </c>
      <c r="V79" s="247">
        <f t="shared" si="39"/>
        <v>171</v>
      </c>
      <c r="W79" s="30">
        <f t="shared" si="61"/>
        <v>85.5</v>
      </c>
      <c r="X79" s="25" t="str">
        <f t="shared" si="40"/>
        <v>FCD</v>
      </c>
      <c r="Y79" s="88">
        <v>50</v>
      </c>
      <c r="Z79" s="88">
        <v>41</v>
      </c>
      <c r="AA79" s="257">
        <f t="shared" si="49"/>
        <v>91</v>
      </c>
      <c r="AB79" s="25">
        <f t="shared" si="50"/>
        <v>91</v>
      </c>
      <c r="AC79" s="25" t="str">
        <f t="shared" si="62"/>
        <v>FCD</v>
      </c>
      <c r="AD79" s="88">
        <v>45</v>
      </c>
      <c r="AE79" s="88">
        <v>35</v>
      </c>
      <c r="AF79" s="257">
        <f t="shared" si="60"/>
        <v>80</v>
      </c>
      <c r="AG79" s="25">
        <f t="shared" si="52"/>
        <v>80</v>
      </c>
      <c r="AH79" s="25" t="str">
        <f t="shared" si="53"/>
        <v>FCD</v>
      </c>
      <c r="AI79" s="257">
        <f t="shared" si="63"/>
        <v>564</v>
      </c>
      <c r="AJ79" s="261">
        <f t="shared" si="64"/>
        <v>80.571428571428569</v>
      </c>
      <c r="AK79" s="262" t="str">
        <f t="shared" si="54"/>
        <v>FCD</v>
      </c>
    </row>
    <row r="80" spans="1:38" s="13" customFormat="1" ht="15.75" hidden="1" x14ac:dyDescent="0.25">
      <c r="A80" s="138">
        <v>71</v>
      </c>
      <c r="B80" s="139" t="s">
        <v>120</v>
      </c>
      <c r="C80" s="277" t="s">
        <v>13</v>
      </c>
      <c r="D80" s="146" t="s">
        <v>218</v>
      </c>
      <c r="E80" s="146">
        <v>45</v>
      </c>
      <c r="F80" s="146">
        <v>30</v>
      </c>
      <c r="G80" s="143">
        <f t="shared" si="58"/>
        <v>75</v>
      </c>
      <c r="H80" s="144">
        <f t="shared" si="42"/>
        <v>75</v>
      </c>
      <c r="I80" s="145" t="str">
        <f t="shared" si="43"/>
        <v>FCD</v>
      </c>
      <c r="J80" s="146">
        <v>50</v>
      </c>
      <c r="K80" s="146">
        <v>35</v>
      </c>
      <c r="L80" s="248">
        <f t="shared" si="44"/>
        <v>85</v>
      </c>
      <c r="M80" s="145">
        <f t="shared" si="45"/>
        <v>85</v>
      </c>
      <c r="N80" s="147" t="str">
        <f t="shared" si="46"/>
        <v>FCD</v>
      </c>
      <c r="O80" s="146">
        <v>44</v>
      </c>
      <c r="P80" s="146">
        <v>41</v>
      </c>
      <c r="Q80" s="248">
        <f t="shared" si="59"/>
        <v>85</v>
      </c>
      <c r="R80" s="145">
        <f t="shared" si="47"/>
        <v>85</v>
      </c>
      <c r="S80" s="149" t="str">
        <f t="shared" si="38"/>
        <v>FCD</v>
      </c>
      <c r="T80" s="146">
        <v>94</v>
      </c>
      <c r="U80" s="146">
        <v>92</v>
      </c>
      <c r="V80" s="248">
        <f t="shared" si="39"/>
        <v>186</v>
      </c>
      <c r="W80" s="148">
        <f t="shared" si="61"/>
        <v>93</v>
      </c>
      <c r="X80" s="149" t="str">
        <f t="shared" si="40"/>
        <v>FCD</v>
      </c>
      <c r="Y80" s="146">
        <v>50</v>
      </c>
      <c r="Z80" s="146">
        <v>34</v>
      </c>
      <c r="AA80" s="258">
        <f t="shared" si="49"/>
        <v>84</v>
      </c>
      <c r="AB80" s="149">
        <f t="shared" si="50"/>
        <v>84</v>
      </c>
      <c r="AC80" s="149" t="str">
        <f t="shared" si="62"/>
        <v>FCD</v>
      </c>
      <c r="AD80" s="146">
        <v>45</v>
      </c>
      <c r="AE80" s="146">
        <v>31</v>
      </c>
      <c r="AF80" s="258">
        <f t="shared" si="60"/>
        <v>76</v>
      </c>
      <c r="AG80" s="149">
        <f t="shared" si="52"/>
        <v>76</v>
      </c>
      <c r="AH80" s="149" t="str">
        <f t="shared" si="53"/>
        <v>FCD</v>
      </c>
      <c r="AI80" s="257">
        <f t="shared" si="63"/>
        <v>591</v>
      </c>
      <c r="AJ80" s="271">
        <f t="shared" si="64"/>
        <v>84.428571428571431</v>
      </c>
      <c r="AK80" s="263" t="str">
        <f t="shared" si="54"/>
        <v>FCD</v>
      </c>
    </row>
    <row r="81" spans="1:37" s="13" customFormat="1" ht="15.75" x14ac:dyDescent="0.25">
      <c r="A81" s="83">
        <v>72</v>
      </c>
      <c r="B81" s="86" t="s">
        <v>121</v>
      </c>
      <c r="C81" s="276" t="s">
        <v>15</v>
      </c>
      <c r="D81" s="88" t="s">
        <v>219</v>
      </c>
      <c r="E81" s="88">
        <v>42</v>
      </c>
      <c r="F81" s="88">
        <v>26</v>
      </c>
      <c r="G81" s="27">
        <f t="shared" si="58"/>
        <v>68</v>
      </c>
      <c r="H81" s="29">
        <f t="shared" si="42"/>
        <v>68</v>
      </c>
      <c r="I81" s="28" t="str">
        <f t="shared" si="43"/>
        <v>FC</v>
      </c>
      <c r="J81" s="136">
        <v>49</v>
      </c>
      <c r="K81" s="136">
        <v>14</v>
      </c>
      <c r="L81" s="250">
        <f t="shared" si="44"/>
        <v>63</v>
      </c>
      <c r="M81" s="31">
        <f t="shared" si="45"/>
        <v>63</v>
      </c>
      <c r="N81" s="40" t="str">
        <f t="shared" si="46"/>
        <v>F</v>
      </c>
      <c r="O81" s="88">
        <v>50</v>
      </c>
      <c r="P81" s="88">
        <v>24</v>
      </c>
      <c r="Q81" s="247">
        <f t="shared" si="59"/>
        <v>74</v>
      </c>
      <c r="R81" s="28">
        <f t="shared" si="47"/>
        <v>74</v>
      </c>
      <c r="S81" s="25" t="str">
        <f t="shared" si="38"/>
        <v>FCD</v>
      </c>
      <c r="T81" s="88">
        <v>84</v>
      </c>
      <c r="U81" s="88">
        <v>91</v>
      </c>
      <c r="V81" s="247">
        <f t="shared" si="39"/>
        <v>175</v>
      </c>
      <c r="W81" s="30">
        <f t="shared" si="61"/>
        <v>87.5</v>
      </c>
      <c r="X81" s="25" t="str">
        <f t="shared" si="40"/>
        <v>FCD</v>
      </c>
      <c r="Y81" s="88">
        <v>47</v>
      </c>
      <c r="Z81" s="88">
        <v>37</v>
      </c>
      <c r="AA81" s="257">
        <f t="shared" si="49"/>
        <v>84</v>
      </c>
      <c r="AB81" s="25">
        <f t="shared" si="50"/>
        <v>84</v>
      </c>
      <c r="AC81" s="25" t="str">
        <f t="shared" si="62"/>
        <v>FCD</v>
      </c>
      <c r="AD81" s="88">
        <v>44</v>
      </c>
      <c r="AE81" s="88">
        <v>30</v>
      </c>
      <c r="AF81" s="257">
        <f t="shared" si="60"/>
        <v>74</v>
      </c>
      <c r="AG81" s="25">
        <f t="shared" si="52"/>
        <v>74</v>
      </c>
      <c r="AH81" s="25" t="str">
        <f t="shared" si="53"/>
        <v>FCD</v>
      </c>
      <c r="AI81" s="257">
        <f t="shared" si="63"/>
        <v>538</v>
      </c>
      <c r="AJ81" s="261">
        <f t="shared" si="64"/>
        <v>76.857142857142861</v>
      </c>
      <c r="AK81" s="266" t="s">
        <v>322</v>
      </c>
    </row>
    <row r="82" spans="1:37" ht="15.75" hidden="1" x14ac:dyDescent="0.25">
      <c r="A82" s="83">
        <v>73</v>
      </c>
      <c r="B82" s="86" t="s">
        <v>122</v>
      </c>
      <c r="C82" s="276" t="s">
        <v>13</v>
      </c>
      <c r="D82" s="88" t="s">
        <v>220</v>
      </c>
      <c r="E82" s="88">
        <v>45</v>
      </c>
      <c r="F82" s="88">
        <v>25</v>
      </c>
      <c r="G82" s="27">
        <f t="shared" si="58"/>
        <v>70</v>
      </c>
      <c r="H82" s="29">
        <f t="shared" si="42"/>
        <v>70</v>
      </c>
      <c r="I82" s="28" t="str">
        <f t="shared" si="43"/>
        <v>FCD</v>
      </c>
      <c r="J82" s="88">
        <v>50</v>
      </c>
      <c r="K82" s="88">
        <v>26</v>
      </c>
      <c r="L82" s="247">
        <f t="shared" si="44"/>
        <v>76</v>
      </c>
      <c r="M82" s="28">
        <f t="shared" si="45"/>
        <v>76</v>
      </c>
      <c r="N82" s="39" t="str">
        <f t="shared" si="46"/>
        <v>FCD</v>
      </c>
      <c r="O82" s="88">
        <v>45</v>
      </c>
      <c r="P82" s="88">
        <v>20</v>
      </c>
      <c r="Q82" s="247">
        <f t="shared" si="59"/>
        <v>65</v>
      </c>
      <c r="R82" s="28">
        <f t="shared" si="47"/>
        <v>65</v>
      </c>
      <c r="S82" s="25" t="str">
        <f t="shared" si="38"/>
        <v>FC</v>
      </c>
      <c r="T82" s="88">
        <v>92</v>
      </c>
      <c r="U82" s="88">
        <v>90</v>
      </c>
      <c r="V82" s="247">
        <f t="shared" si="39"/>
        <v>182</v>
      </c>
      <c r="W82" s="30">
        <f t="shared" si="61"/>
        <v>91</v>
      </c>
      <c r="X82" s="25" t="str">
        <f t="shared" si="40"/>
        <v>FCD</v>
      </c>
      <c r="Y82" s="88">
        <v>49</v>
      </c>
      <c r="Z82" s="88">
        <v>34</v>
      </c>
      <c r="AA82" s="257">
        <f t="shared" si="49"/>
        <v>83</v>
      </c>
      <c r="AB82" s="25">
        <f t="shared" si="50"/>
        <v>83</v>
      </c>
      <c r="AC82" s="25" t="str">
        <f t="shared" si="62"/>
        <v>FCD</v>
      </c>
      <c r="AD82" s="88">
        <v>39</v>
      </c>
      <c r="AE82" s="88">
        <v>25</v>
      </c>
      <c r="AF82" s="257">
        <f t="shared" si="60"/>
        <v>64</v>
      </c>
      <c r="AG82" s="25">
        <f t="shared" si="52"/>
        <v>64</v>
      </c>
      <c r="AH82" s="25" t="str">
        <f t="shared" si="53"/>
        <v>FC</v>
      </c>
      <c r="AI82" s="257">
        <f t="shared" si="63"/>
        <v>540</v>
      </c>
      <c r="AJ82" s="261">
        <f t="shared" si="64"/>
        <v>77.142857142857139</v>
      </c>
      <c r="AK82" s="262" t="str">
        <f t="shared" si="54"/>
        <v>FCD</v>
      </c>
    </row>
    <row r="83" spans="1:37" s="13" customFormat="1" ht="15.75" hidden="1" x14ac:dyDescent="0.25">
      <c r="A83" s="83">
        <v>74</v>
      </c>
      <c r="B83" s="86" t="s">
        <v>123</v>
      </c>
      <c r="C83" s="276" t="s">
        <v>13</v>
      </c>
      <c r="D83" s="88" t="s">
        <v>221</v>
      </c>
      <c r="E83" s="88">
        <v>43</v>
      </c>
      <c r="F83" s="88">
        <v>34</v>
      </c>
      <c r="G83" s="27">
        <f t="shared" si="58"/>
        <v>77</v>
      </c>
      <c r="H83" s="29">
        <f t="shared" si="42"/>
        <v>77</v>
      </c>
      <c r="I83" s="28" t="str">
        <f t="shared" si="43"/>
        <v>FCD</v>
      </c>
      <c r="J83" s="88">
        <v>50</v>
      </c>
      <c r="K83" s="88">
        <v>29</v>
      </c>
      <c r="L83" s="247">
        <f t="shared" si="44"/>
        <v>79</v>
      </c>
      <c r="M83" s="28">
        <f t="shared" si="45"/>
        <v>79</v>
      </c>
      <c r="N83" s="39" t="str">
        <f t="shared" si="46"/>
        <v>FCD</v>
      </c>
      <c r="O83" s="88">
        <v>47</v>
      </c>
      <c r="P83" s="88">
        <v>28</v>
      </c>
      <c r="Q83" s="247">
        <f t="shared" si="59"/>
        <v>75</v>
      </c>
      <c r="R83" s="28">
        <f t="shared" si="47"/>
        <v>75</v>
      </c>
      <c r="S83" s="25" t="str">
        <f t="shared" si="38"/>
        <v>FCD</v>
      </c>
      <c r="T83" s="88">
        <v>94</v>
      </c>
      <c r="U83" s="88">
        <v>92</v>
      </c>
      <c r="V83" s="247">
        <f t="shared" si="39"/>
        <v>186</v>
      </c>
      <c r="W83" s="30">
        <f t="shared" si="61"/>
        <v>93</v>
      </c>
      <c r="X83" s="25" t="str">
        <f t="shared" si="40"/>
        <v>FCD</v>
      </c>
      <c r="Y83" s="88">
        <v>50</v>
      </c>
      <c r="Z83" s="88">
        <v>43</v>
      </c>
      <c r="AA83" s="257">
        <f t="shared" si="49"/>
        <v>93</v>
      </c>
      <c r="AB83" s="25">
        <f t="shared" si="50"/>
        <v>93</v>
      </c>
      <c r="AC83" s="25" t="str">
        <f t="shared" si="62"/>
        <v>FCD</v>
      </c>
      <c r="AD83" s="88">
        <v>44</v>
      </c>
      <c r="AE83" s="88">
        <v>25</v>
      </c>
      <c r="AF83" s="257">
        <f t="shared" si="60"/>
        <v>69</v>
      </c>
      <c r="AG83" s="25">
        <f t="shared" si="52"/>
        <v>69</v>
      </c>
      <c r="AH83" s="25" t="str">
        <f t="shared" si="53"/>
        <v>FC</v>
      </c>
      <c r="AI83" s="257">
        <f t="shared" si="63"/>
        <v>579</v>
      </c>
      <c r="AJ83" s="261">
        <f t="shared" si="64"/>
        <v>82.714285714285708</v>
      </c>
      <c r="AK83" s="262" t="str">
        <f t="shared" si="54"/>
        <v>FCD</v>
      </c>
    </row>
    <row r="84" spans="1:37" s="13" customFormat="1" ht="15.75" hidden="1" x14ac:dyDescent="0.25">
      <c r="A84" s="83">
        <v>75</v>
      </c>
      <c r="B84" s="86" t="s">
        <v>124</v>
      </c>
      <c r="C84" s="276" t="s">
        <v>13</v>
      </c>
      <c r="D84" s="88" t="s">
        <v>222</v>
      </c>
      <c r="E84" s="88">
        <v>44</v>
      </c>
      <c r="F84" s="88">
        <v>38</v>
      </c>
      <c r="G84" s="27">
        <f t="shared" si="58"/>
        <v>82</v>
      </c>
      <c r="H84" s="29">
        <f t="shared" si="42"/>
        <v>82</v>
      </c>
      <c r="I84" s="28" t="str">
        <f t="shared" si="43"/>
        <v>FCD</v>
      </c>
      <c r="J84" s="35">
        <v>49</v>
      </c>
      <c r="K84" s="35">
        <v>18</v>
      </c>
      <c r="L84" s="247">
        <f t="shared" si="44"/>
        <v>67</v>
      </c>
      <c r="M84" s="28">
        <f t="shared" si="45"/>
        <v>67</v>
      </c>
      <c r="N84" s="39" t="str">
        <f t="shared" si="46"/>
        <v>FC</v>
      </c>
      <c r="O84" s="35">
        <v>45</v>
      </c>
      <c r="P84" s="35">
        <v>28</v>
      </c>
      <c r="Q84" s="247">
        <f t="shared" si="59"/>
        <v>73</v>
      </c>
      <c r="R84" s="28">
        <f t="shared" si="47"/>
        <v>73</v>
      </c>
      <c r="S84" s="25" t="str">
        <f t="shared" si="38"/>
        <v>FCD</v>
      </c>
      <c r="T84" s="26">
        <v>94</v>
      </c>
      <c r="U84" s="26">
        <v>92</v>
      </c>
      <c r="V84" s="247">
        <f t="shared" si="39"/>
        <v>186</v>
      </c>
      <c r="W84" s="30">
        <f t="shared" si="61"/>
        <v>93</v>
      </c>
      <c r="X84" s="25" t="str">
        <f t="shared" si="40"/>
        <v>FCD</v>
      </c>
      <c r="Y84" s="26">
        <v>50</v>
      </c>
      <c r="Z84" s="26">
        <v>38</v>
      </c>
      <c r="AA84" s="257">
        <f t="shared" si="49"/>
        <v>88</v>
      </c>
      <c r="AB84" s="25">
        <f t="shared" si="50"/>
        <v>88</v>
      </c>
      <c r="AC84" s="25" t="str">
        <f t="shared" si="62"/>
        <v>FCD</v>
      </c>
      <c r="AD84" s="26">
        <v>43</v>
      </c>
      <c r="AE84" s="26">
        <v>26</v>
      </c>
      <c r="AF84" s="257">
        <f t="shared" si="60"/>
        <v>69</v>
      </c>
      <c r="AG84" s="25">
        <f t="shared" si="52"/>
        <v>69</v>
      </c>
      <c r="AH84" s="25" t="str">
        <f t="shared" si="53"/>
        <v>FC</v>
      </c>
      <c r="AI84" s="257">
        <f t="shared" si="63"/>
        <v>565</v>
      </c>
      <c r="AJ84" s="261">
        <f t="shared" si="64"/>
        <v>80.714285714285708</v>
      </c>
      <c r="AK84" s="262" t="str">
        <f t="shared" si="54"/>
        <v>FCD</v>
      </c>
    </row>
    <row r="85" spans="1:37" s="13" customFormat="1" ht="15.75" x14ac:dyDescent="0.25">
      <c r="A85" s="83">
        <v>76</v>
      </c>
      <c r="B85" s="86" t="s">
        <v>125</v>
      </c>
      <c r="C85" s="276" t="s">
        <v>15</v>
      </c>
      <c r="D85" s="88" t="s">
        <v>223</v>
      </c>
      <c r="E85" s="88">
        <v>44</v>
      </c>
      <c r="F85" s="88">
        <v>29</v>
      </c>
      <c r="G85" s="27">
        <f t="shared" si="58"/>
        <v>73</v>
      </c>
      <c r="H85" s="29">
        <f t="shared" si="42"/>
        <v>73</v>
      </c>
      <c r="I85" s="28" t="str">
        <f t="shared" si="43"/>
        <v>FCD</v>
      </c>
      <c r="J85" s="88">
        <v>50</v>
      </c>
      <c r="K85" s="88">
        <v>27</v>
      </c>
      <c r="L85" s="247">
        <f t="shared" si="44"/>
        <v>77</v>
      </c>
      <c r="M85" s="28">
        <f t="shared" si="45"/>
        <v>77</v>
      </c>
      <c r="N85" s="39" t="str">
        <f t="shared" si="46"/>
        <v>FCD</v>
      </c>
      <c r="O85" s="88">
        <v>45</v>
      </c>
      <c r="P85" s="88">
        <v>18</v>
      </c>
      <c r="Q85" s="247">
        <f t="shared" si="59"/>
        <v>63</v>
      </c>
      <c r="R85" s="28">
        <f t="shared" si="47"/>
        <v>63</v>
      </c>
      <c r="S85" s="25" t="str">
        <f t="shared" si="38"/>
        <v>FC</v>
      </c>
      <c r="T85" s="88">
        <v>92</v>
      </c>
      <c r="U85" s="88">
        <v>92</v>
      </c>
      <c r="V85" s="247">
        <f t="shared" si="39"/>
        <v>184</v>
      </c>
      <c r="W85" s="30">
        <f t="shared" si="61"/>
        <v>92</v>
      </c>
      <c r="X85" s="25" t="str">
        <f t="shared" si="40"/>
        <v>FCD</v>
      </c>
      <c r="Y85" s="88">
        <v>47</v>
      </c>
      <c r="Z85" s="88">
        <v>38</v>
      </c>
      <c r="AA85" s="257">
        <f t="shared" si="49"/>
        <v>85</v>
      </c>
      <c r="AB85" s="25">
        <f t="shared" si="50"/>
        <v>85</v>
      </c>
      <c r="AC85" s="25" t="str">
        <f t="shared" si="62"/>
        <v>FCD</v>
      </c>
      <c r="AD85" s="88">
        <v>48</v>
      </c>
      <c r="AE85" s="88">
        <v>37</v>
      </c>
      <c r="AF85" s="257">
        <f t="shared" si="60"/>
        <v>85</v>
      </c>
      <c r="AG85" s="25">
        <f t="shared" si="52"/>
        <v>85</v>
      </c>
      <c r="AH85" s="25" t="str">
        <f t="shared" si="53"/>
        <v>FCD</v>
      </c>
      <c r="AI85" s="257">
        <f t="shared" si="63"/>
        <v>567</v>
      </c>
      <c r="AJ85" s="261">
        <f t="shared" si="64"/>
        <v>81</v>
      </c>
      <c r="AK85" s="262" t="str">
        <f t="shared" si="54"/>
        <v>FCD</v>
      </c>
    </row>
    <row r="86" spans="1:37" ht="15.75" hidden="1" x14ac:dyDescent="0.25">
      <c r="A86" s="83">
        <v>77</v>
      </c>
      <c r="B86" s="86" t="s">
        <v>126</v>
      </c>
      <c r="C86" s="276" t="s">
        <v>13</v>
      </c>
      <c r="D86" s="88" t="s">
        <v>224</v>
      </c>
      <c r="E86" s="88">
        <v>46</v>
      </c>
      <c r="F86" s="88">
        <v>23</v>
      </c>
      <c r="G86" s="27">
        <f t="shared" si="58"/>
        <v>69</v>
      </c>
      <c r="H86" s="29">
        <f t="shared" si="42"/>
        <v>69</v>
      </c>
      <c r="I86" s="28" t="str">
        <f t="shared" si="43"/>
        <v>FC</v>
      </c>
      <c r="J86" s="88">
        <v>50</v>
      </c>
      <c r="K86" s="88">
        <v>25</v>
      </c>
      <c r="L86" s="247">
        <f t="shared" si="44"/>
        <v>75</v>
      </c>
      <c r="M86" s="28">
        <f t="shared" si="45"/>
        <v>75</v>
      </c>
      <c r="N86" s="39" t="str">
        <f t="shared" si="46"/>
        <v>FCD</v>
      </c>
      <c r="O86" s="88">
        <v>48</v>
      </c>
      <c r="P86" s="88">
        <v>25</v>
      </c>
      <c r="Q86" s="247">
        <f t="shared" si="59"/>
        <v>73</v>
      </c>
      <c r="R86" s="28">
        <f t="shared" si="47"/>
        <v>73</v>
      </c>
      <c r="S86" s="25" t="str">
        <f t="shared" si="38"/>
        <v>FCD</v>
      </c>
      <c r="T86" s="88">
        <v>92</v>
      </c>
      <c r="U86" s="88">
        <v>90</v>
      </c>
      <c r="V86" s="247">
        <f t="shared" si="39"/>
        <v>182</v>
      </c>
      <c r="W86" s="30">
        <f t="shared" si="61"/>
        <v>91</v>
      </c>
      <c r="X86" s="25" t="str">
        <f t="shared" si="40"/>
        <v>FCD</v>
      </c>
      <c r="Y86" s="88">
        <v>49</v>
      </c>
      <c r="Z86" s="88">
        <v>28</v>
      </c>
      <c r="AA86" s="257">
        <f t="shared" si="49"/>
        <v>77</v>
      </c>
      <c r="AB86" s="25">
        <f t="shared" si="50"/>
        <v>77</v>
      </c>
      <c r="AC86" s="25" t="str">
        <f t="shared" si="62"/>
        <v>FCD</v>
      </c>
      <c r="AD86" s="88">
        <v>43</v>
      </c>
      <c r="AE86" s="88">
        <v>34</v>
      </c>
      <c r="AF86" s="257">
        <f t="shared" si="60"/>
        <v>77</v>
      </c>
      <c r="AG86" s="25">
        <f t="shared" si="52"/>
        <v>77</v>
      </c>
      <c r="AH86" s="25" t="str">
        <f t="shared" si="53"/>
        <v>FCD</v>
      </c>
      <c r="AI86" s="257">
        <f t="shared" si="63"/>
        <v>553</v>
      </c>
      <c r="AJ86" s="261">
        <f t="shared" si="64"/>
        <v>79</v>
      </c>
      <c r="AK86" s="262" t="str">
        <f t="shared" si="54"/>
        <v>FCD</v>
      </c>
    </row>
    <row r="87" spans="1:37" s="13" customFormat="1" ht="15.75" hidden="1" x14ac:dyDescent="0.25">
      <c r="A87" s="161">
        <v>78</v>
      </c>
      <c r="B87" s="162" t="s">
        <v>127</v>
      </c>
      <c r="C87" s="281" t="s">
        <v>13</v>
      </c>
      <c r="D87" s="164" t="s">
        <v>225</v>
      </c>
      <c r="E87" s="164">
        <v>47</v>
      </c>
      <c r="F87" s="164">
        <v>31</v>
      </c>
      <c r="G87" s="165">
        <f t="shared" si="58"/>
        <v>78</v>
      </c>
      <c r="H87" s="166">
        <f t="shared" si="42"/>
        <v>78</v>
      </c>
      <c r="I87" s="167" t="str">
        <f t="shared" si="43"/>
        <v>FCD</v>
      </c>
      <c r="J87" s="164">
        <v>50</v>
      </c>
      <c r="K87" s="164">
        <v>31</v>
      </c>
      <c r="L87" s="268">
        <f t="shared" si="44"/>
        <v>81</v>
      </c>
      <c r="M87" s="167">
        <f t="shared" si="45"/>
        <v>81</v>
      </c>
      <c r="N87" s="182" t="str">
        <f t="shared" si="46"/>
        <v>FCD</v>
      </c>
      <c r="O87" s="164">
        <v>50</v>
      </c>
      <c r="P87" s="164">
        <v>29</v>
      </c>
      <c r="Q87" s="268">
        <f t="shared" si="59"/>
        <v>79</v>
      </c>
      <c r="R87" s="167">
        <f t="shared" si="47"/>
        <v>79</v>
      </c>
      <c r="S87" s="169" t="str">
        <f t="shared" si="38"/>
        <v>FCD</v>
      </c>
      <c r="T87" s="164">
        <v>97</v>
      </c>
      <c r="U87" s="164">
        <v>91</v>
      </c>
      <c r="V87" s="268">
        <f t="shared" si="39"/>
        <v>188</v>
      </c>
      <c r="W87" s="168">
        <f t="shared" si="61"/>
        <v>94</v>
      </c>
      <c r="X87" s="169" t="str">
        <f t="shared" si="40"/>
        <v>FCD</v>
      </c>
      <c r="Y87" s="164">
        <v>50</v>
      </c>
      <c r="Z87" s="164">
        <v>35</v>
      </c>
      <c r="AA87" s="269">
        <f t="shared" si="49"/>
        <v>85</v>
      </c>
      <c r="AB87" s="169">
        <f t="shared" si="50"/>
        <v>85</v>
      </c>
      <c r="AC87" s="169" t="str">
        <f t="shared" si="62"/>
        <v>FCD</v>
      </c>
      <c r="AD87" s="164">
        <v>49</v>
      </c>
      <c r="AE87" s="164">
        <v>38</v>
      </c>
      <c r="AF87" s="269">
        <f t="shared" si="60"/>
        <v>87</v>
      </c>
      <c r="AG87" s="169">
        <f t="shared" si="52"/>
        <v>87</v>
      </c>
      <c r="AH87" s="169" t="str">
        <f t="shared" si="53"/>
        <v>FCD</v>
      </c>
      <c r="AI87" s="257">
        <f t="shared" si="63"/>
        <v>598</v>
      </c>
      <c r="AJ87" s="272">
        <f t="shared" si="64"/>
        <v>85.428571428571431</v>
      </c>
      <c r="AK87" s="273" t="str">
        <f t="shared" si="54"/>
        <v>FCD</v>
      </c>
    </row>
    <row r="88" spans="1:37" s="13" customFormat="1" ht="15.75" hidden="1" x14ac:dyDescent="0.25">
      <c r="A88" s="83">
        <v>79</v>
      </c>
      <c r="B88" s="86" t="s">
        <v>128</v>
      </c>
      <c r="C88" s="276" t="s">
        <v>13</v>
      </c>
      <c r="D88" s="88" t="s">
        <v>226</v>
      </c>
      <c r="E88" s="88">
        <v>47</v>
      </c>
      <c r="F88" s="88">
        <v>23</v>
      </c>
      <c r="G88" s="27">
        <f t="shared" si="58"/>
        <v>70</v>
      </c>
      <c r="H88" s="29">
        <f t="shared" si="42"/>
        <v>70</v>
      </c>
      <c r="I88" s="28" t="str">
        <f t="shared" si="43"/>
        <v>FCD</v>
      </c>
      <c r="J88" s="88">
        <v>50</v>
      </c>
      <c r="K88" s="88">
        <v>31</v>
      </c>
      <c r="L88" s="247">
        <f t="shared" si="44"/>
        <v>81</v>
      </c>
      <c r="M88" s="28">
        <f t="shared" si="45"/>
        <v>81</v>
      </c>
      <c r="N88" s="39" t="str">
        <f t="shared" si="46"/>
        <v>FCD</v>
      </c>
      <c r="O88" s="88">
        <v>48</v>
      </c>
      <c r="P88" s="88">
        <v>29</v>
      </c>
      <c r="Q88" s="247">
        <f t="shared" si="59"/>
        <v>77</v>
      </c>
      <c r="R88" s="28">
        <f t="shared" si="47"/>
        <v>77</v>
      </c>
      <c r="S88" s="25" t="str">
        <f t="shared" si="38"/>
        <v>FCD</v>
      </c>
      <c r="T88" s="88">
        <v>96</v>
      </c>
      <c r="U88" s="88">
        <v>92</v>
      </c>
      <c r="V88" s="247">
        <f t="shared" si="39"/>
        <v>188</v>
      </c>
      <c r="W88" s="30">
        <f t="shared" si="61"/>
        <v>94</v>
      </c>
      <c r="X88" s="25" t="str">
        <f t="shared" si="40"/>
        <v>FCD</v>
      </c>
      <c r="Y88" s="88">
        <v>50</v>
      </c>
      <c r="Z88" s="88">
        <v>42</v>
      </c>
      <c r="AA88" s="257">
        <f t="shared" si="49"/>
        <v>92</v>
      </c>
      <c r="AB88" s="25">
        <f t="shared" si="50"/>
        <v>92</v>
      </c>
      <c r="AC88" s="25" t="str">
        <f t="shared" si="62"/>
        <v>FCD</v>
      </c>
      <c r="AD88" s="88">
        <v>48</v>
      </c>
      <c r="AE88" s="88">
        <v>25</v>
      </c>
      <c r="AF88" s="257">
        <f t="shared" si="60"/>
        <v>73</v>
      </c>
      <c r="AG88" s="25">
        <f t="shared" si="52"/>
        <v>73</v>
      </c>
      <c r="AH88" s="25" t="str">
        <f t="shared" si="53"/>
        <v>FCD</v>
      </c>
      <c r="AI88" s="257">
        <f t="shared" si="63"/>
        <v>581</v>
      </c>
      <c r="AJ88" s="261">
        <f t="shared" si="64"/>
        <v>83</v>
      </c>
      <c r="AK88" s="262" t="str">
        <f t="shared" si="54"/>
        <v>FCD</v>
      </c>
    </row>
    <row r="89" spans="1:37" s="13" customFormat="1" ht="15.75" hidden="1" x14ac:dyDescent="0.25">
      <c r="A89" s="83">
        <v>80</v>
      </c>
      <c r="B89" s="86" t="s">
        <v>129</v>
      </c>
      <c r="C89" s="276" t="s">
        <v>15</v>
      </c>
      <c r="D89" s="88" t="s">
        <v>227</v>
      </c>
      <c r="E89" s="88">
        <v>41</v>
      </c>
      <c r="F89" s="88">
        <v>18</v>
      </c>
      <c r="G89" s="27">
        <f t="shared" si="58"/>
        <v>59</v>
      </c>
      <c r="H89" s="29">
        <f t="shared" si="42"/>
        <v>59</v>
      </c>
      <c r="I89" s="28" t="str">
        <f t="shared" si="43"/>
        <v>SC</v>
      </c>
      <c r="J89" s="88">
        <v>49</v>
      </c>
      <c r="K89" s="88">
        <v>33</v>
      </c>
      <c r="L89" s="247">
        <f t="shared" si="44"/>
        <v>82</v>
      </c>
      <c r="M89" s="28">
        <f t="shared" si="45"/>
        <v>82</v>
      </c>
      <c r="N89" s="39" t="str">
        <f t="shared" si="46"/>
        <v>FCD</v>
      </c>
      <c r="O89" s="88">
        <v>47</v>
      </c>
      <c r="P89" s="88">
        <v>19</v>
      </c>
      <c r="Q89" s="247">
        <f t="shared" si="59"/>
        <v>66</v>
      </c>
      <c r="R89" s="28">
        <f t="shared" si="47"/>
        <v>66</v>
      </c>
      <c r="S89" s="25" t="str">
        <f t="shared" si="38"/>
        <v>FC</v>
      </c>
      <c r="T89" s="88">
        <v>94</v>
      </c>
      <c r="U89" s="88">
        <v>86</v>
      </c>
      <c r="V89" s="247">
        <f t="shared" si="39"/>
        <v>180</v>
      </c>
      <c r="W89" s="30">
        <f t="shared" si="61"/>
        <v>90</v>
      </c>
      <c r="X89" s="25" t="str">
        <f t="shared" si="40"/>
        <v>FCD</v>
      </c>
      <c r="Y89" s="88">
        <v>48</v>
      </c>
      <c r="Z89" s="88">
        <v>23</v>
      </c>
      <c r="AA89" s="257">
        <f t="shared" si="49"/>
        <v>71</v>
      </c>
      <c r="AB89" s="25">
        <f t="shared" si="50"/>
        <v>71</v>
      </c>
      <c r="AC89" s="25" t="str">
        <f t="shared" si="62"/>
        <v>FCD</v>
      </c>
      <c r="AD89" s="88">
        <v>44</v>
      </c>
      <c r="AE89" s="88">
        <v>25</v>
      </c>
      <c r="AF89" s="257">
        <f t="shared" si="60"/>
        <v>69</v>
      </c>
      <c r="AG89" s="25">
        <f t="shared" si="52"/>
        <v>69</v>
      </c>
      <c r="AH89" s="25" t="str">
        <f t="shared" si="53"/>
        <v>FC</v>
      </c>
      <c r="AI89" s="257">
        <f t="shared" si="63"/>
        <v>527</v>
      </c>
      <c r="AJ89" s="261">
        <f t="shared" si="64"/>
        <v>75.285714285714292</v>
      </c>
      <c r="AK89" s="262" t="str">
        <f t="shared" si="54"/>
        <v>FCD</v>
      </c>
    </row>
    <row r="90" spans="1:37" ht="15.75" x14ac:dyDescent="0.25">
      <c r="A90" s="83">
        <v>81</v>
      </c>
      <c r="B90" s="86" t="s">
        <v>130</v>
      </c>
      <c r="C90" s="276" t="s">
        <v>15</v>
      </c>
      <c r="D90" s="88" t="s">
        <v>228</v>
      </c>
      <c r="E90" s="88">
        <v>45</v>
      </c>
      <c r="F90" s="88">
        <v>32</v>
      </c>
      <c r="G90" s="27">
        <f t="shared" si="58"/>
        <v>77</v>
      </c>
      <c r="H90" s="29">
        <f t="shared" si="42"/>
        <v>77</v>
      </c>
      <c r="I90" s="28" t="str">
        <f t="shared" si="43"/>
        <v>FCD</v>
      </c>
      <c r="J90" s="88">
        <v>47</v>
      </c>
      <c r="K90" s="88">
        <v>33</v>
      </c>
      <c r="L90" s="247">
        <f t="shared" si="44"/>
        <v>80</v>
      </c>
      <c r="M90" s="28">
        <f t="shared" si="45"/>
        <v>80</v>
      </c>
      <c r="N90" s="39" t="str">
        <f t="shared" si="46"/>
        <v>FCD</v>
      </c>
      <c r="O90" s="88">
        <v>50</v>
      </c>
      <c r="P90" s="88">
        <v>30</v>
      </c>
      <c r="Q90" s="247">
        <f t="shared" si="59"/>
        <v>80</v>
      </c>
      <c r="R90" s="28">
        <f t="shared" si="47"/>
        <v>80</v>
      </c>
      <c r="S90" s="25" t="str">
        <f t="shared" si="38"/>
        <v>FCD</v>
      </c>
      <c r="T90" s="88">
        <v>93</v>
      </c>
      <c r="U90" s="88">
        <v>83</v>
      </c>
      <c r="V90" s="247">
        <f t="shared" si="39"/>
        <v>176</v>
      </c>
      <c r="W90" s="30">
        <f t="shared" si="61"/>
        <v>88</v>
      </c>
      <c r="X90" s="25" t="str">
        <f t="shared" si="40"/>
        <v>FCD</v>
      </c>
      <c r="Y90" s="88">
        <v>50</v>
      </c>
      <c r="Z90" s="88">
        <v>43</v>
      </c>
      <c r="AA90" s="257">
        <f t="shared" si="49"/>
        <v>93</v>
      </c>
      <c r="AB90" s="25">
        <f t="shared" si="50"/>
        <v>93</v>
      </c>
      <c r="AC90" s="25" t="str">
        <f t="shared" si="62"/>
        <v>FCD</v>
      </c>
      <c r="AD90" s="88">
        <v>48</v>
      </c>
      <c r="AE90" s="88">
        <v>32</v>
      </c>
      <c r="AF90" s="257">
        <f t="shared" si="60"/>
        <v>80</v>
      </c>
      <c r="AG90" s="25">
        <f t="shared" si="52"/>
        <v>80</v>
      </c>
      <c r="AH90" s="25" t="str">
        <f t="shared" si="53"/>
        <v>FCD</v>
      </c>
      <c r="AI90" s="257">
        <f t="shared" si="63"/>
        <v>586</v>
      </c>
      <c r="AJ90" s="261">
        <f t="shared" si="64"/>
        <v>83.714285714285708</v>
      </c>
      <c r="AK90" s="262" t="str">
        <f t="shared" si="54"/>
        <v>FCD</v>
      </c>
    </row>
    <row r="91" spans="1:37" ht="15.75" x14ac:dyDescent="0.25">
      <c r="A91" s="170">
        <v>82</v>
      </c>
      <c r="B91" s="171" t="s">
        <v>131</v>
      </c>
      <c r="C91" s="280" t="s">
        <v>15</v>
      </c>
      <c r="D91" s="174" t="s">
        <v>229</v>
      </c>
      <c r="E91" s="174">
        <v>44</v>
      </c>
      <c r="F91" s="174">
        <v>24</v>
      </c>
      <c r="G91" s="175">
        <f t="shared" si="58"/>
        <v>68</v>
      </c>
      <c r="H91" s="176">
        <f t="shared" si="42"/>
        <v>68</v>
      </c>
      <c r="I91" s="177" t="str">
        <f t="shared" si="43"/>
        <v>FC</v>
      </c>
      <c r="J91" s="174">
        <v>50</v>
      </c>
      <c r="K91" s="174">
        <v>31</v>
      </c>
      <c r="L91" s="251">
        <f t="shared" si="44"/>
        <v>81</v>
      </c>
      <c r="M91" s="177">
        <f t="shared" si="45"/>
        <v>81</v>
      </c>
      <c r="N91" s="183" t="str">
        <f t="shared" si="46"/>
        <v>FCD</v>
      </c>
      <c r="O91" s="174">
        <v>50</v>
      </c>
      <c r="P91" s="174">
        <v>38</v>
      </c>
      <c r="Q91" s="251">
        <f t="shared" si="59"/>
        <v>88</v>
      </c>
      <c r="R91" s="177">
        <f t="shared" si="47"/>
        <v>88</v>
      </c>
      <c r="S91" s="181" t="str">
        <f t="shared" si="38"/>
        <v>FCD</v>
      </c>
      <c r="T91" s="174">
        <v>84</v>
      </c>
      <c r="U91" s="174">
        <v>92</v>
      </c>
      <c r="V91" s="251">
        <f t="shared" si="39"/>
        <v>176</v>
      </c>
      <c r="W91" s="180">
        <f t="shared" si="61"/>
        <v>88</v>
      </c>
      <c r="X91" s="181" t="str">
        <f t="shared" si="40"/>
        <v>FCD</v>
      </c>
      <c r="Y91" s="174">
        <v>50</v>
      </c>
      <c r="Z91" s="174">
        <v>41</v>
      </c>
      <c r="AA91" s="260">
        <f t="shared" si="49"/>
        <v>91</v>
      </c>
      <c r="AB91" s="181">
        <f t="shared" si="50"/>
        <v>91</v>
      </c>
      <c r="AC91" s="181" t="str">
        <f t="shared" si="62"/>
        <v>FCD</v>
      </c>
      <c r="AD91" s="174">
        <v>49</v>
      </c>
      <c r="AE91" s="174">
        <v>38</v>
      </c>
      <c r="AF91" s="260">
        <f t="shared" si="60"/>
        <v>87</v>
      </c>
      <c r="AG91" s="181">
        <f t="shared" si="52"/>
        <v>87</v>
      </c>
      <c r="AH91" s="181" t="str">
        <f t="shared" si="53"/>
        <v>FCD</v>
      </c>
      <c r="AI91" s="257">
        <f t="shared" si="63"/>
        <v>591</v>
      </c>
      <c r="AJ91" s="274">
        <f t="shared" si="64"/>
        <v>84.428571428571431</v>
      </c>
      <c r="AK91" s="267" t="str">
        <f t="shared" si="54"/>
        <v>FCD</v>
      </c>
    </row>
    <row r="92" spans="1:37" ht="15.75" hidden="1" x14ac:dyDescent="0.25">
      <c r="A92" s="83">
        <v>83</v>
      </c>
      <c r="B92" s="86" t="s">
        <v>132</v>
      </c>
      <c r="C92" s="276" t="s">
        <v>15</v>
      </c>
      <c r="D92" s="88" t="s">
        <v>230</v>
      </c>
      <c r="E92" s="88">
        <v>44</v>
      </c>
      <c r="F92" s="88">
        <v>22</v>
      </c>
      <c r="G92" s="27">
        <f t="shared" si="58"/>
        <v>66</v>
      </c>
      <c r="H92" s="29">
        <f t="shared" si="42"/>
        <v>66</v>
      </c>
      <c r="I92" s="28" t="str">
        <f t="shared" si="43"/>
        <v>FC</v>
      </c>
      <c r="J92" s="88">
        <v>50</v>
      </c>
      <c r="K92" s="88">
        <v>34</v>
      </c>
      <c r="L92" s="247">
        <f t="shared" si="44"/>
        <v>84</v>
      </c>
      <c r="M92" s="28">
        <f t="shared" si="45"/>
        <v>84</v>
      </c>
      <c r="N92" s="39" t="str">
        <f t="shared" si="46"/>
        <v>FCD</v>
      </c>
      <c r="O92" s="88">
        <v>50</v>
      </c>
      <c r="P92" s="88">
        <v>26</v>
      </c>
      <c r="Q92" s="247">
        <f t="shared" si="59"/>
        <v>76</v>
      </c>
      <c r="R92" s="28">
        <f t="shared" si="47"/>
        <v>76</v>
      </c>
      <c r="S92" s="25" t="str">
        <f t="shared" si="38"/>
        <v>FCD</v>
      </c>
      <c r="T92" s="88">
        <v>93</v>
      </c>
      <c r="U92" s="88">
        <v>82</v>
      </c>
      <c r="V92" s="247">
        <f t="shared" si="39"/>
        <v>175</v>
      </c>
      <c r="W92" s="30">
        <f t="shared" si="61"/>
        <v>87.5</v>
      </c>
      <c r="X92" s="25" t="str">
        <f t="shared" si="40"/>
        <v>FCD</v>
      </c>
      <c r="Y92" s="88">
        <v>49</v>
      </c>
      <c r="Z92" s="88">
        <v>40</v>
      </c>
      <c r="AA92" s="257">
        <f t="shared" si="49"/>
        <v>89</v>
      </c>
      <c r="AB92" s="25">
        <f t="shared" si="50"/>
        <v>89</v>
      </c>
      <c r="AC92" s="25" t="str">
        <f t="shared" si="62"/>
        <v>FCD</v>
      </c>
      <c r="AD92" s="88">
        <v>44</v>
      </c>
      <c r="AE92" s="88">
        <v>24</v>
      </c>
      <c r="AF92" s="257">
        <f t="shared" si="60"/>
        <v>68</v>
      </c>
      <c r="AG92" s="25">
        <f t="shared" si="52"/>
        <v>68</v>
      </c>
      <c r="AH92" s="25" t="str">
        <f t="shared" si="53"/>
        <v>FC</v>
      </c>
      <c r="AI92" s="257">
        <f t="shared" si="63"/>
        <v>558</v>
      </c>
      <c r="AJ92" s="261">
        <f t="shared" si="64"/>
        <v>79.714285714285708</v>
      </c>
      <c r="AK92" s="262" t="str">
        <f t="shared" si="54"/>
        <v>FCD</v>
      </c>
    </row>
    <row r="93" spans="1:37" ht="15.75" hidden="1" x14ac:dyDescent="0.25">
      <c r="A93" s="83">
        <v>84</v>
      </c>
      <c r="B93" s="86" t="s">
        <v>133</v>
      </c>
      <c r="C93" s="276" t="s">
        <v>13</v>
      </c>
      <c r="D93" s="88" t="s">
        <v>231</v>
      </c>
      <c r="E93" s="88">
        <v>45</v>
      </c>
      <c r="F93" s="88">
        <v>30</v>
      </c>
      <c r="G93" s="27">
        <f t="shared" si="58"/>
        <v>75</v>
      </c>
      <c r="H93" s="29">
        <f t="shared" si="42"/>
        <v>75</v>
      </c>
      <c r="I93" s="28" t="str">
        <f t="shared" si="43"/>
        <v>FCD</v>
      </c>
      <c r="J93" s="88">
        <v>50</v>
      </c>
      <c r="K93" s="88">
        <v>25</v>
      </c>
      <c r="L93" s="247">
        <f t="shared" si="44"/>
        <v>75</v>
      </c>
      <c r="M93" s="28">
        <f t="shared" si="45"/>
        <v>75</v>
      </c>
      <c r="N93" s="39" t="str">
        <f t="shared" si="46"/>
        <v>FCD</v>
      </c>
      <c r="O93" s="88">
        <v>50</v>
      </c>
      <c r="P93" s="88">
        <v>28</v>
      </c>
      <c r="Q93" s="247">
        <f t="shared" si="59"/>
        <v>78</v>
      </c>
      <c r="R93" s="28">
        <f t="shared" si="47"/>
        <v>78</v>
      </c>
      <c r="S93" s="25" t="str">
        <f t="shared" si="38"/>
        <v>FCD</v>
      </c>
      <c r="T93" s="88">
        <v>93</v>
      </c>
      <c r="U93" s="88">
        <v>90</v>
      </c>
      <c r="V93" s="247">
        <f t="shared" si="39"/>
        <v>183</v>
      </c>
      <c r="W93" s="30">
        <f t="shared" si="61"/>
        <v>91.5</v>
      </c>
      <c r="X93" s="25" t="str">
        <f t="shared" si="40"/>
        <v>FCD</v>
      </c>
      <c r="Y93" s="88">
        <v>50</v>
      </c>
      <c r="Z93" s="88">
        <v>37</v>
      </c>
      <c r="AA93" s="257">
        <f t="shared" si="49"/>
        <v>87</v>
      </c>
      <c r="AB93" s="25">
        <f t="shared" si="50"/>
        <v>87</v>
      </c>
      <c r="AC93" s="25" t="str">
        <f t="shared" si="62"/>
        <v>FCD</v>
      </c>
      <c r="AD93" s="88">
        <v>47</v>
      </c>
      <c r="AE93" s="88">
        <v>24</v>
      </c>
      <c r="AF93" s="257">
        <f t="shared" si="60"/>
        <v>71</v>
      </c>
      <c r="AG93" s="25">
        <f t="shared" si="52"/>
        <v>71</v>
      </c>
      <c r="AH93" s="25" t="str">
        <f t="shared" si="53"/>
        <v>FCD</v>
      </c>
      <c r="AI93" s="257">
        <f t="shared" si="63"/>
        <v>569</v>
      </c>
      <c r="AJ93" s="261">
        <f t="shared" si="64"/>
        <v>81.285714285714292</v>
      </c>
      <c r="AK93" s="262" t="str">
        <f t="shared" si="54"/>
        <v>FCD</v>
      </c>
    </row>
    <row r="94" spans="1:37" s="13" customFormat="1" ht="15.75" hidden="1" x14ac:dyDescent="0.25">
      <c r="A94" s="83">
        <v>85</v>
      </c>
      <c r="B94" s="86" t="s">
        <v>134</v>
      </c>
      <c r="C94" s="276" t="s">
        <v>13</v>
      </c>
      <c r="D94" s="88" t="s">
        <v>232</v>
      </c>
      <c r="E94" s="88">
        <v>45</v>
      </c>
      <c r="F94" s="88">
        <v>29</v>
      </c>
      <c r="G94" s="27">
        <f t="shared" si="58"/>
        <v>74</v>
      </c>
      <c r="H94" s="29">
        <f t="shared" si="42"/>
        <v>74</v>
      </c>
      <c r="I94" s="28" t="str">
        <f t="shared" si="43"/>
        <v>FCD</v>
      </c>
      <c r="J94" s="88">
        <v>50</v>
      </c>
      <c r="K94" s="88">
        <v>33</v>
      </c>
      <c r="L94" s="247">
        <f t="shared" si="44"/>
        <v>83</v>
      </c>
      <c r="M94" s="28">
        <f t="shared" si="45"/>
        <v>83</v>
      </c>
      <c r="N94" s="39" t="str">
        <f t="shared" si="46"/>
        <v>FCD</v>
      </c>
      <c r="O94" s="88">
        <v>50</v>
      </c>
      <c r="P94" s="88">
        <v>33</v>
      </c>
      <c r="Q94" s="247">
        <f t="shared" si="59"/>
        <v>83</v>
      </c>
      <c r="R94" s="28">
        <f t="shared" si="47"/>
        <v>83</v>
      </c>
      <c r="S94" s="25" t="str">
        <f t="shared" si="38"/>
        <v>FCD</v>
      </c>
      <c r="T94" s="88">
        <v>83</v>
      </c>
      <c r="U94" s="88">
        <v>89</v>
      </c>
      <c r="V94" s="247">
        <f t="shared" si="39"/>
        <v>172</v>
      </c>
      <c r="W94" s="30">
        <f t="shared" si="61"/>
        <v>86</v>
      </c>
      <c r="X94" s="25" t="str">
        <f t="shared" si="40"/>
        <v>FCD</v>
      </c>
      <c r="Y94" s="88">
        <v>50</v>
      </c>
      <c r="Z94" s="88">
        <v>31</v>
      </c>
      <c r="AA94" s="257">
        <f t="shared" si="49"/>
        <v>81</v>
      </c>
      <c r="AB94" s="25">
        <f t="shared" si="50"/>
        <v>81</v>
      </c>
      <c r="AC94" s="25" t="str">
        <f t="shared" si="62"/>
        <v>FCD</v>
      </c>
      <c r="AD94" s="88">
        <v>48</v>
      </c>
      <c r="AE94" s="88">
        <v>32</v>
      </c>
      <c r="AF94" s="257">
        <f t="shared" si="60"/>
        <v>80</v>
      </c>
      <c r="AG94" s="25">
        <f t="shared" si="52"/>
        <v>80</v>
      </c>
      <c r="AH94" s="25" t="str">
        <f t="shared" si="53"/>
        <v>FCD</v>
      </c>
      <c r="AI94" s="257">
        <f t="shared" si="63"/>
        <v>573</v>
      </c>
      <c r="AJ94" s="261">
        <f t="shared" si="64"/>
        <v>81.857142857142861</v>
      </c>
      <c r="AK94" s="262" t="str">
        <f t="shared" si="54"/>
        <v>FCD</v>
      </c>
    </row>
    <row r="95" spans="1:37" s="13" customFormat="1" ht="15.75" hidden="1" x14ac:dyDescent="0.25">
      <c r="A95" s="83">
        <v>86</v>
      </c>
      <c r="B95" s="86" t="s">
        <v>135</v>
      </c>
      <c r="C95" s="276" t="s">
        <v>13</v>
      </c>
      <c r="D95" s="88" t="s">
        <v>233</v>
      </c>
      <c r="E95" s="88">
        <v>45</v>
      </c>
      <c r="F95" s="88">
        <v>41</v>
      </c>
      <c r="G95" s="27">
        <f t="shared" si="58"/>
        <v>86</v>
      </c>
      <c r="H95" s="29">
        <f t="shared" si="42"/>
        <v>86</v>
      </c>
      <c r="I95" s="28" t="str">
        <f t="shared" si="43"/>
        <v>FCD</v>
      </c>
      <c r="J95" s="88">
        <v>50</v>
      </c>
      <c r="K95" s="88">
        <v>24</v>
      </c>
      <c r="L95" s="247">
        <f t="shared" si="44"/>
        <v>74</v>
      </c>
      <c r="M95" s="28">
        <f t="shared" si="45"/>
        <v>74</v>
      </c>
      <c r="N95" s="39" t="str">
        <f t="shared" si="46"/>
        <v>FCD</v>
      </c>
      <c r="O95" s="88">
        <v>50</v>
      </c>
      <c r="P95" s="88">
        <v>19</v>
      </c>
      <c r="Q95" s="250">
        <f t="shared" si="59"/>
        <v>69</v>
      </c>
      <c r="R95" s="31">
        <f t="shared" si="47"/>
        <v>69</v>
      </c>
      <c r="S95" s="33" t="str">
        <f t="shared" si="38"/>
        <v>FC</v>
      </c>
      <c r="T95" s="88">
        <v>84</v>
      </c>
      <c r="U95" s="88">
        <v>87</v>
      </c>
      <c r="V95" s="247">
        <f t="shared" si="39"/>
        <v>171</v>
      </c>
      <c r="W95" s="30">
        <f t="shared" si="61"/>
        <v>85.5</v>
      </c>
      <c r="X95" s="25" t="str">
        <f t="shared" si="40"/>
        <v>FCD</v>
      </c>
      <c r="Y95" s="88">
        <v>50</v>
      </c>
      <c r="Z95" s="88">
        <v>32</v>
      </c>
      <c r="AA95" s="257">
        <f t="shared" si="49"/>
        <v>82</v>
      </c>
      <c r="AB95" s="25">
        <f t="shared" si="50"/>
        <v>82</v>
      </c>
      <c r="AC95" s="25" t="str">
        <f t="shared" si="62"/>
        <v>FCD</v>
      </c>
      <c r="AD95" s="88">
        <v>48</v>
      </c>
      <c r="AE95" s="88">
        <v>24</v>
      </c>
      <c r="AF95" s="257">
        <f t="shared" si="60"/>
        <v>72</v>
      </c>
      <c r="AG95" s="25">
        <f t="shared" si="52"/>
        <v>72</v>
      </c>
      <c r="AH95" s="25" t="str">
        <f t="shared" si="53"/>
        <v>FCD</v>
      </c>
      <c r="AI95" s="257">
        <f t="shared" si="63"/>
        <v>554</v>
      </c>
      <c r="AJ95" s="261">
        <f t="shared" si="64"/>
        <v>79.142857142857139</v>
      </c>
      <c r="AK95" s="262" t="str">
        <f t="shared" si="54"/>
        <v>FCD</v>
      </c>
    </row>
    <row r="96" spans="1:37" s="13" customFormat="1" ht="15.75" hidden="1" x14ac:dyDescent="0.25">
      <c r="A96" s="83">
        <v>87</v>
      </c>
      <c r="B96" s="86" t="s">
        <v>136</v>
      </c>
      <c r="C96" s="276" t="s">
        <v>13</v>
      </c>
      <c r="D96" s="88" t="s">
        <v>234</v>
      </c>
      <c r="E96" s="88">
        <v>46</v>
      </c>
      <c r="F96" s="88">
        <v>24</v>
      </c>
      <c r="G96" s="27">
        <f t="shared" si="58"/>
        <v>70</v>
      </c>
      <c r="H96" s="29">
        <f t="shared" si="42"/>
        <v>70</v>
      </c>
      <c r="I96" s="28" t="str">
        <f t="shared" si="43"/>
        <v>FCD</v>
      </c>
      <c r="J96" s="88">
        <v>48</v>
      </c>
      <c r="K96" s="88">
        <v>31</v>
      </c>
      <c r="L96" s="247">
        <f t="shared" si="44"/>
        <v>79</v>
      </c>
      <c r="M96" s="28">
        <f t="shared" si="45"/>
        <v>79</v>
      </c>
      <c r="N96" s="39" t="str">
        <f t="shared" si="46"/>
        <v>FCD</v>
      </c>
      <c r="O96" s="88">
        <v>50</v>
      </c>
      <c r="P96" s="88">
        <v>35</v>
      </c>
      <c r="Q96" s="247">
        <f t="shared" si="59"/>
        <v>85</v>
      </c>
      <c r="R96" s="28">
        <f t="shared" si="47"/>
        <v>85</v>
      </c>
      <c r="S96" s="25" t="str">
        <f t="shared" si="38"/>
        <v>FCD</v>
      </c>
      <c r="T96" s="88">
        <v>92</v>
      </c>
      <c r="U96" s="88">
        <v>90</v>
      </c>
      <c r="V96" s="247">
        <f t="shared" si="39"/>
        <v>182</v>
      </c>
      <c r="W96" s="30">
        <f t="shared" si="61"/>
        <v>91</v>
      </c>
      <c r="X96" s="25" t="str">
        <f t="shared" si="40"/>
        <v>FCD</v>
      </c>
      <c r="Y96" s="88">
        <v>50</v>
      </c>
      <c r="Z96" s="88">
        <v>35</v>
      </c>
      <c r="AA96" s="257">
        <f t="shared" si="49"/>
        <v>85</v>
      </c>
      <c r="AB96" s="25">
        <f t="shared" si="50"/>
        <v>85</v>
      </c>
      <c r="AC96" s="25" t="str">
        <f t="shared" si="62"/>
        <v>FCD</v>
      </c>
      <c r="AD96" s="88">
        <v>49</v>
      </c>
      <c r="AE96" s="88">
        <v>38</v>
      </c>
      <c r="AF96" s="257">
        <f t="shared" si="60"/>
        <v>87</v>
      </c>
      <c r="AG96" s="25">
        <f t="shared" si="52"/>
        <v>87</v>
      </c>
      <c r="AH96" s="25" t="str">
        <f t="shared" si="53"/>
        <v>FCD</v>
      </c>
      <c r="AI96" s="257">
        <f t="shared" si="63"/>
        <v>588</v>
      </c>
      <c r="AJ96" s="261">
        <f t="shared" si="64"/>
        <v>84</v>
      </c>
      <c r="AK96" s="262" t="str">
        <f t="shared" si="54"/>
        <v>FCD</v>
      </c>
    </row>
    <row r="97" spans="1:37" s="13" customFormat="1" ht="15.75" hidden="1" x14ac:dyDescent="0.25">
      <c r="A97" s="83">
        <v>88</v>
      </c>
      <c r="B97" s="86" t="s">
        <v>137</v>
      </c>
      <c r="C97" s="276" t="s">
        <v>13</v>
      </c>
      <c r="D97" s="88" t="s">
        <v>235</v>
      </c>
      <c r="E97" s="88">
        <v>43</v>
      </c>
      <c r="F97" s="88">
        <v>24</v>
      </c>
      <c r="G97" s="27">
        <f t="shared" si="58"/>
        <v>67</v>
      </c>
      <c r="H97" s="29">
        <f t="shared" si="42"/>
        <v>67</v>
      </c>
      <c r="I97" s="28" t="str">
        <f t="shared" si="43"/>
        <v>FC</v>
      </c>
      <c r="J97" s="88">
        <v>50</v>
      </c>
      <c r="K97" s="88">
        <v>23</v>
      </c>
      <c r="L97" s="247">
        <f t="shared" si="44"/>
        <v>73</v>
      </c>
      <c r="M97" s="28">
        <f t="shared" si="45"/>
        <v>73</v>
      </c>
      <c r="N97" s="39" t="str">
        <f t="shared" si="46"/>
        <v>FCD</v>
      </c>
      <c r="O97" s="88">
        <v>47</v>
      </c>
      <c r="P97" s="88">
        <v>19</v>
      </c>
      <c r="Q97" s="247">
        <f t="shared" si="59"/>
        <v>66</v>
      </c>
      <c r="R97" s="28">
        <f t="shared" si="47"/>
        <v>66</v>
      </c>
      <c r="S97" s="25" t="str">
        <f t="shared" si="38"/>
        <v>FC</v>
      </c>
      <c r="T97" s="88">
        <v>83</v>
      </c>
      <c r="U97" s="88">
        <v>92</v>
      </c>
      <c r="V97" s="247">
        <f t="shared" si="39"/>
        <v>175</v>
      </c>
      <c r="W97" s="30">
        <f t="shared" si="61"/>
        <v>87.5</v>
      </c>
      <c r="X97" s="25" t="str">
        <f t="shared" si="40"/>
        <v>FCD</v>
      </c>
      <c r="Y97" s="88">
        <v>48</v>
      </c>
      <c r="Z97" s="88">
        <v>34</v>
      </c>
      <c r="AA97" s="257">
        <f t="shared" si="49"/>
        <v>82</v>
      </c>
      <c r="AB97" s="25">
        <f t="shared" si="50"/>
        <v>82</v>
      </c>
      <c r="AC97" s="25" t="str">
        <f t="shared" si="62"/>
        <v>FCD</v>
      </c>
      <c r="AD97" s="88">
        <v>42</v>
      </c>
      <c r="AE97" s="88">
        <v>23</v>
      </c>
      <c r="AF97" s="257">
        <f t="shared" si="60"/>
        <v>65</v>
      </c>
      <c r="AG97" s="25">
        <f t="shared" si="52"/>
        <v>65</v>
      </c>
      <c r="AH97" s="25" t="str">
        <f t="shared" si="53"/>
        <v>FC</v>
      </c>
      <c r="AI97" s="257">
        <f t="shared" si="63"/>
        <v>528</v>
      </c>
      <c r="AJ97" s="261">
        <f t="shared" si="64"/>
        <v>75.428571428571431</v>
      </c>
      <c r="AK97" s="262" t="str">
        <f t="shared" si="54"/>
        <v>FCD</v>
      </c>
    </row>
    <row r="98" spans="1:37" s="13" customFormat="1" ht="15.75" x14ac:dyDescent="0.25">
      <c r="A98" s="83">
        <v>89</v>
      </c>
      <c r="B98" s="86" t="s">
        <v>138</v>
      </c>
      <c r="C98" s="276" t="s">
        <v>15</v>
      </c>
      <c r="D98" s="88" t="s">
        <v>236</v>
      </c>
      <c r="E98" s="88">
        <v>45</v>
      </c>
      <c r="F98" s="88">
        <v>23</v>
      </c>
      <c r="G98" s="27">
        <f t="shared" si="58"/>
        <v>68</v>
      </c>
      <c r="H98" s="29">
        <f t="shared" si="42"/>
        <v>68</v>
      </c>
      <c r="I98" s="28" t="str">
        <f t="shared" si="43"/>
        <v>FC</v>
      </c>
      <c r="J98" s="88">
        <v>50</v>
      </c>
      <c r="K98" s="88">
        <v>24</v>
      </c>
      <c r="L98" s="247">
        <f t="shared" si="44"/>
        <v>74</v>
      </c>
      <c r="M98" s="28">
        <f t="shared" si="45"/>
        <v>74</v>
      </c>
      <c r="N98" s="39" t="str">
        <f t="shared" si="46"/>
        <v>FCD</v>
      </c>
      <c r="O98" s="88">
        <v>41</v>
      </c>
      <c r="P98" s="88">
        <v>41</v>
      </c>
      <c r="Q98" s="247">
        <f t="shared" si="59"/>
        <v>82</v>
      </c>
      <c r="R98" s="28">
        <f t="shared" si="47"/>
        <v>82</v>
      </c>
      <c r="S98" s="25" t="str">
        <f t="shared" si="38"/>
        <v>FCD</v>
      </c>
      <c r="T98" s="88">
        <v>92</v>
      </c>
      <c r="U98" s="88">
        <v>86</v>
      </c>
      <c r="V98" s="247">
        <f t="shared" si="39"/>
        <v>178</v>
      </c>
      <c r="W98" s="30">
        <f t="shared" si="61"/>
        <v>89</v>
      </c>
      <c r="X98" s="25" t="str">
        <f t="shared" si="40"/>
        <v>FCD</v>
      </c>
      <c r="Y98" s="88">
        <v>45</v>
      </c>
      <c r="Z98" s="88">
        <v>35</v>
      </c>
      <c r="AA98" s="257">
        <f t="shared" si="49"/>
        <v>80</v>
      </c>
      <c r="AB98" s="25">
        <f t="shared" si="50"/>
        <v>80</v>
      </c>
      <c r="AC98" s="25" t="str">
        <f t="shared" si="62"/>
        <v>FCD</v>
      </c>
      <c r="AD98" s="88">
        <v>46</v>
      </c>
      <c r="AE98" s="88">
        <v>37</v>
      </c>
      <c r="AF98" s="257">
        <f t="shared" si="60"/>
        <v>83</v>
      </c>
      <c r="AG98" s="25">
        <f t="shared" si="52"/>
        <v>83</v>
      </c>
      <c r="AH98" s="25" t="str">
        <f t="shared" si="53"/>
        <v>FCD</v>
      </c>
      <c r="AI98" s="257">
        <f t="shared" si="63"/>
        <v>565</v>
      </c>
      <c r="AJ98" s="261">
        <f t="shared" si="64"/>
        <v>80.714285714285708</v>
      </c>
      <c r="AK98" s="262" t="str">
        <f t="shared" si="54"/>
        <v>FCD</v>
      </c>
    </row>
    <row r="99" spans="1:37" ht="15.75" hidden="1" x14ac:dyDescent="0.25">
      <c r="A99" s="83">
        <v>90</v>
      </c>
      <c r="B99" s="86" t="s">
        <v>139</v>
      </c>
      <c r="C99" s="276" t="s">
        <v>15</v>
      </c>
      <c r="D99" s="88" t="s">
        <v>237</v>
      </c>
      <c r="E99" s="88">
        <v>44</v>
      </c>
      <c r="F99" s="88">
        <v>24</v>
      </c>
      <c r="G99" s="27">
        <f t="shared" si="58"/>
        <v>68</v>
      </c>
      <c r="H99" s="29">
        <f t="shared" si="42"/>
        <v>68</v>
      </c>
      <c r="I99" s="28" t="str">
        <f t="shared" si="43"/>
        <v>FC</v>
      </c>
      <c r="J99" s="88">
        <v>47</v>
      </c>
      <c r="K99" s="88">
        <v>27</v>
      </c>
      <c r="L99" s="247">
        <f t="shared" si="44"/>
        <v>74</v>
      </c>
      <c r="M99" s="28">
        <f t="shared" si="45"/>
        <v>74</v>
      </c>
      <c r="N99" s="39" t="str">
        <f t="shared" si="46"/>
        <v>FCD</v>
      </c>
      <c r="O99" s="88">
        <v>50</v>
      </c>
      <c r="P99" s="88">
        <v>22</v>
      </c>
      <c r="Q99" s="247">
        <f t="shared" si="59"/>
        <v>72</v>
      </c>
      <c r="R99" s="28">
        <f t="shared" si="47"/>
        <v>72</v>
      </c>
      <c r="S99" s="25" t="str">
        <f t="shared" si="38"/>
        <v>FCD</v>
      </c>
      <c r="T99" s="88">
        <v>92</v>
      </c>
      <c r="U99" s="88">
        <v>90</v>
      </c>
      <c r="V99" s="247">
        <f t="shared" si="39"/>
        <v>182</v>
      </c>
      <c r="W99" s="30">
        <f t="shared" si="61"/>
        <v>91</v>
      </c>
      <c r="X99" s="25" t="str">
        <f t="shared" si="40"/>
        <v>FCD</v>
      </c>
      <c r="Y99" s="88">
        <v>50</v>
      </c>
      <c r="Z99" s="88">
        <v>36</v>
      </c>
      <c r="AA99" s="257">
        <f t="shared" si="49"/>
        <v>86</v>
      </c>
      <c r="AB99" s="25">
        <f t="shared" si="50"/>
        <v>86</v>
      </c>
      <c r="AC99" s="25" t="str">
        <f t="shared" si="62"/>
        <v>FCD</v>
      </c>
      <c r="AD99" s="88">
        <v>43</v>
      </c>
      <c r="AE99" s="88">
        <v>23</v>
      </c>
      <c r="AF99" s="257">
        <f t="shared" si="60"/>
        <v>66</v>
      </c>
      <c r="AG99" s="25">
        <f t="shared" si="52"/>
        <v>66</v>
      </c>
      <c r="AH99" s="25" t="str">
        <f t="shared" si="53"/>
        <v>FC</v>
      </c>
      <c r="AI99" s="257">
        <f t="shared" si="63"/>
        <v>548</v>
      </c>
      <c r="AJ99" s="261">
        <f t="shared" si="64"/>
        <v>78.285714285714292</v>
      </c>
      <c r="AK99" s="262" t="str">
        <f t="shared" si="54"/>
        <v>FCD</v>
      </c>
    </row>
    <row r="100" spans="1:37" ht="15.75" hidden="1" x14ac:dyDescent="0.25">
      <c r="A100" s="83">
        <v>91</v>
      </c>
      <c r="B100" s="86" t="s">
        <v>140</v>
      </c>
      <c r="C100" s="276" t="s">
        <v>15</v>
      </c>
      <c r="D100" s="88" t="s">
        <v>238</v>
      </c>
      <c r="E100" s="88">
        <v>42</v>
      </c>
      <c r="F100" s="88">
        <v>30</v>
      </c>
      <c r="G100" s="27">
        <f t="shared" si="58"/>
        <v>72</v>
      </c>
      <c r="H100" s="29">
        <f t="shared" si="42"/>
        <v>72</v>
      </c>
      <c r="I100" s="28" t="str">
        <f t="shared" si="43"/>
        <v>FCD</v>
      </c>
      <c r="J100" s="88">
        <v>50</v>
      </c>
      <c r="K100" s="88">
        <v>26</v>
      </c>
      <c r="L100" s="247">
        <f t="shared" si="44"/>
        <v>76</v>
      </c>
      <c r="M100" s="28">
        <f t="shared" si="45"/>
        <v>76</v>
      </c>
      <c r="N100" s="39" t="str">
        <f t="shared" si="46"/>
        <v>FCD</v>
      </c>
      <c r="O100" s="88">
        <v>44</v>
      </c>
      <c r="P100" s="88">
        <v>31</v>
      </c>
      <c r="Q100" s="247">
        <f t="shared" si="59"/>
        <v>75</v>
      </c>
      <c r="R100" s="28">
        <f t="shared" si="47"/>
        <v>75</v>
      </c>
      <c r="S100" s="25" t="str">
        <f t="shared" si="38"/>
        <v>FCD</v>
      </c>
      <c r="T100" s="88">
        <v>92</v>
      </c>
      <c r="U100" s="88">
        <v>80</v>
      </c>
      <c r="V100" s="247">
        <f t="shared" si="39"/>
        <v>172</v>
      </c>
      <c r="W100" s="30">
        <f t="shared" si="61"/>
        <v>86</v>
      </c>
      <c r="X100" s="25" t="str">
        <f t="shared" si="40"/>
        <v>FCD</v>
      </c>
      <c r="Y100" s="88">
        <v>50</v>
      </c>
      <c r="Z100" s="88">
        <v>29</v>
      </c>
      <c r="AA100" s="257">
        <f t="shared" si="49"/>
        <v>79</v>
      </c>
      <c r="AB100" s="25">
        <f t="shared" si="50"/>
        <v>79</v>
      </c>
      <c r="AC100" s="25" t="str">
        <f t="shared" si="62"/>
        <v>FCD</v>
      </c>
      <c r="AD100" s="88">
        <v>44</v>
      </c>
      <c r="AE100" s="88">
        <v>21</v>
      </c>
      <c r="AF100" s="257">
        <f t="shared" si="60"/>
        <v>65</v>
      </c>
      <c r="AG100" s="25">
        <f t="shared" si="52"/>
        <v>65</v>
      </c>
      <c r="AH100" s="25" t="str">
        <f t="shared" si="53"/>
        <v>FC</v>
      </c>
      <c r="AI100" s="257">
        <f t="shared" si="63"/>
        <v>539</v>
      </c>
      <c r="AJ100" s="261">
        <f t="shared" si="64"/>
        <v>77</v>
      </c>
      <c r="AK100" s="262" t="str">
        <f t="shared" si="54"/>
        <v>FCD</v>
      </c>
    </row>
    <row r="101" spans="1:37" ht="15.75" hidden="1" x14ac:dyDescent="0.25">
      <c r="A101" s="83">
        <v>92</v>
      </c>
      <c r="B101" s="86" t="s">
        <v>141</v>
      </c>
      <c r="C101" s="276" t="s">
        <v>13</v>
      </c>
      <c r="D101" s="88" t="s">
        <v>239</v>
      </c>
      <c r="E101" s="136">
        <v>40</v>
      </c>
      <c r="F101" s="136">
        <v>12</v>
      </c>
      <c r="G101" s="10">
        <f t="shared" si="58"/>
        <v>52</v>
      </c>
      <c r="H101" s="137">
        <f t="shared" si="42"/>
        <v>52</v>
      </c>
      <c r="I101" s="31" t="str">
        <f t="shared" si="43"/>
        <v>F</v>
      </c>
      <c r="J101" s="88">
        <v>49</v>
      </c>
      <c r="K101" s="88">
        <v>18</v>
      </c>
      <c r="L101" s="247">
        <f t="shared" si="44"/>
        <v>67</v>
      </c>
      <c r="M101" s="28">
        <f t="shared" si="45"/>
        <v>67</v>
      </c>
      <c r="N101" s="39" t="str">
        <f t="shared" si="46"/>
        <v>FC</v>
      </c>
      <c r="O101" s="88">
        <v>35</v>
      </c>
      <c r="P101" s="88">
        <v>18</v>
      </c>
      <c r="Q101" s="247">
        <f t="shared" si="59"/>
        <v>53</v>
      </c>
      <c r="R101" s="28">
        <f t="shared" si="47"/>
        <v>53</v>
      </c>
      <c r="S101" s="25" t="str">
        <f t="shared" si="38"/>
        <v>SC</v>
      </c>
      <c r="T101" s="88">
        <v>84</v>
      </c>
      <c r="U101" s="88">
        <v>86</v>
      </c>
      <c r="V101" s="247">
        <f t="shared" si="39"/>
        <v>170</v>
      </c>
      <c r="W101" s="30">
        <f t="shared" si="61"/>
        <v>85</v>
      </c>
      <c r="X101" s="25" t="str">
        <f t="shared" si="40"/>
        <v>FCD</v>
      </c>
      <c r="Y101" s="88">
        <v>47</v>
      </c>
      <c r="Z101" s="88">
        <v>30</v>
      </c>
      <c r="AA101" s="257">
        <f t="shared" si="49"/>
        <v>77</v>
      </c>
      <c r="AB101" s="25">
        <f t="shared" si="50"/>
        <v>77</v>
      </c>
      <c r="AC101" s="25" t="str">
        <f t="shared" si="62"/>
        <v>FCD</v>
      </c>
      <c r="AD101" s="88">
        <v>37</v>
      </c>
      <c r="AE101" s="88">
        <v>23</v>
      </c>
      <c r="AF101" s="257">
        <f t="shared" si="60"/>
        <v>60</v>
      </c>
      <c r="AG101" s="25">
        <f t="shared" si="52"/>
        <v>60</v>
      </c>
      <c r="AH101" s="25" t="str">
        <f t="shared" si="53"/>
        <v>FC</v>
      </c>
      <c r="AI101" s="257">
        <f t="shared" si="63"/>
        <v>479</v>
      </c>
      <c r="AJ101" s="261">
        <f t="shared" si="64"/>
        <v>68.428571428571431</v>
      </c>
      <c r="AK101" s="266" t="s">
        <v>322</v>
      </c>
    </row>
    <row r="102" spans="1:37" s="13" customFormat="1" ht="15.75" hidden="1" x14ac:dyDescent="0.25">
      <c r="A102" s="83">
        <v>93</v>
      </c>
      <c r="B102" s="86" t="s">
        <v>142</v>
      </c>
      <c r="C102" s="276" t="s">
        <v>15</v>
      </c>
      <c r="D102" s="88" t="s">
        <v>240</v>
      </c>
      <c r="E102" s="136">
        <v>43</v>
      </c>
      <c r="F102" s="136">
        <v>12</v>
      </c>
      <c r="G102" s="10">
        <f t="shared" si="58"/>
        <v>55</v>
      </c>
      <c r="H102" s="137">
        <f t="shared" si="42"/>
        <v>55</v>
      </c>
      <c r="I102" s="31" t="str">
        <f t="shared" si="43"/>
        <v>F</v>
      </c>
      <c r="J102" s="88">
        <v>47</v>
      </c>
      <c r="K102" s="88">
        <v>23</v>
      </c>
      <c r="L102" s="250">
        <f t="shared" si="44"/>
        <v>70</v>
      </c>
      <c r="M102" s="28">
        <f t="shared" si="45"/>
        <v>70</v>
      </c>
      <c r="N102" s="39" t="str">
        <f t="shared" si="46"/>
        <v>FCD</v>
      </c>
      <c r="O102" s="88">
        <v>32</v>
      </c>
      <c r="P102" s="88">
        <v>18</v>
      </c>
      <c r="Q102" s="247">
        <f t="shared" si="59"/>
        <v>50</v>
      </c>
      <c r="R102" s="28">
        <f t="shared" si="47"/>
        <v>50</v>
      </c>
      <c r="S102" s="25" t="str">
        <f t="shared" si="38"/>
        <v>SC</v>
      </c>
      <c r="T102" s="88">
        <v>90</v>
      </c>
      <c r="U102" s="88">
        <v>80</v>
      </c>
      <c r="V102" s="247">
        <f t="shared" si="39"/>
        <v>170</v>
      </c>
      <c r="W102" s="30">
        <f t="shared" si="61"/>
        <v>85</v>
      </c>
      <c r="X102" s="25" t="str">
        <f t="shared" si="40"/>
        <v>FCD</v>
      </c>
      <c r="Y102" s="88">
        <v>40</v>
      </c>
      <c r="Z102" s="88">
        <v>26</v>
      </c>
      <c r="AA102" s="257">
        <f t="shared" si="49"/>
        <v>66</v>
      </c>
      <c r="AB102" s="25">
        <f t="shared" si="50"/>
        <v>66</v>
      </c>
      <c r="AC102" s="25" t="str">
        <f t="shared" si="62"/>
        <v>FC</v>
      </c>
      <c r="AD102" s="88">
        <v>40</v>
      </c>
      <c r="AE102" s="88">
        <v>26</v>
      </c>
      <c r="AF102" s="257">
        <f t="shared" si="60"/>
        <v>66</v>
      </c>
      <c r="AG102" s="25">
        <f t="shared" si="52"/>
        <v>66</v>
      </c>
      <c r="AH102" s="25" t="str">
        <f t="shared" si="53"/>
        <v>FC</v>
      </c>
      <c r="AI102" s="257">
        <f t="shared" si="63"/>
        <v>477</v>
      </c>
      <c r="AJ102" s="261">
        <f t="shared" si="64"/>
        <v>68.142857142857139</v>
      </c>
      <c r="AK102" s="266" t="s">
        <v>322</v>
      </c>
    </row>
    <row r="103" spans="1:37" ht="15.75" hidden="1" x14ac:dyDescent="0.25">
      <c r="A103" s="83">
        <v>94</v>
      </c>
      <c r="B103" s="86" t="s">
        <v>143</v>
      </c>
      <c r="C103" s="276" t="s">
        <v>13</v>
      </c>
      <c r="D103" s="88" t="s">
        <v>241</v>
      </c>
      <c r="E103" s="88">
        <v>41</v>
      </c>
      <c r="F103" s="88">
        <v>24</v>
      </c>
      <c r="G103" s="10">
        <f t="shared" si="58"/>
        <v>65</v>
      </c>
      <c r="H103" s="29">
        <f t="shared" si="42"/>
        <v>65</v>
      </c>
      <c r="I103" s="28" t="str">
        <f t="shared" si="43"/>
        <v>FC</v>
      </c>
      <c r="J103" s="88">
        <v>50</v>
      </c>
      <c r="K103" s="88">
        <v>20</v>
      </c>
      <c r="L103" s="250">
        <f t="shared" si="44"/>
        <v>70</v>
      </c>
      <c r="M103" s="28">
        <f t="shared" si="45"/>
        <v>70</v>
      </c>
      <c r="N103" s="39" t="str">
        <f t="shared" si="46"/>
        <v>FCD</v>
      </c>
      <c r="O103" s="88">
        <v>42</v>
      </c>
      <c r="P103" s="88">
        <v>18</v>
      </c>
      <c r="Q103" s="250">
        <f t="shared" si="59"/>
        <v>60</v>
      </c>
      <c r="R103" s="28">
        <f t="shared" si="47"/>
        <v>60</v>
      </c>
      <c r="S103" s="25" t="str">
        <f t="shared" si="38"/>
        <v>FC</v>
      </c>
      <c r="T103" s="88">
        <v>92</v>
      </c>
      <c r="U103" s="88">
        <v>89</v>
      </c>
      <c r="V103" s="247">
        <f t="shared" si="39"/>
        <v>181</v>
      </c>
      <c r="W103" s="30">
        <f t="shared" si="61"/>
        <v>90.5</v>
      </c>
      <c r="X103" s="25" t="str">
        <f t="shared" si="40"/>
        <v>FCD</v>
      </c>
      <c r="Y103" s="88">
        <v>50</v>
      </c>
      <c r="Z103" s="88">
        <v>30</v>
      </c>
      <c r="AA103" s="270">
        <f t="shared" si="49"/>
        <v>80</v>
      </c>
      <c r="AB103" s="25">
        <f t="shared" si="50"/>
        <v>80</v>
      </c>
      <c r="AC103" s="25" t="str">
        <f t="shared" si="62"/>
        <v>FCD</v>
      </c>
      <c r="AD103" s="88">
        <v>41</v>
      </c>
      <c r="AE103" s="88">
        <v>31</v>
      </c>
      <c r="AF103" s="270">
        <f t="shared" si="60"/>
        <v>72</v>
      </c>
      <c r="AG103" s="25">
        <f t="shared" si="52"/>
        <v>72</v>
      </c>
      <c r="AH103" s="25" t="str">
        <f t="shared" si="53"/>
        <v>FCD</v>
      </c>
      <c r="AI103" s="257">
        <f t="shared" si="63"/>
        <v>528</v>
      </c>
      <c r="AJ103" s="261">
        <f t="shared" si="64"/>
        <v>75.428571428571431</v>
      </c>
      <c r="AK103" s="262" t="str">
        <f t="shared" si="54"/>
        <v>FCD</v>
      </c>
    </row>
    <row r="104" spans="1:37" s="13" customFormat="1" ht="15.75" x14ac:dyDescent="0.25">
      <c r="A104" s="83">
        <v>95</v>
      </c>
      <c r="B104" s="86" t="s">
        <v>144</v>
      </c>
      <c r="C104" s="276" t="s">
        <v>15</v>
      </c>
      <c r="D104" s="88" t="s">
        <v>242</v>
      </c>
      <c r="E104" s="88">
        <v>41</v>
      </c>
      <c r="F104" s="88">
        <v>25</v>
      </c>
      <c r="G104" s="27">
        <f t="shared" si="58"/>
        <v>66</v>
      </c>
      <c r="H104" s="29">
        <f t="shared" si="42"/>
        <v>66</v>
      </c>
      <c r="I104" s="28" t="str">
        <f t="shared" si="43"/>
        <v>FC</v>
      </c>
      <c r="J104" s="88">
        <v>46</v>
      </c>
      <c r="K104" s="88">
        <v>20</v>
      </c>
      <c r="L104" s="247">
        <f t="shared" si="44"/>
        <v>66</v>
      </c>
      <c r="M104" s="28">
        <f t="shared" si="45"/>
        <v>66</v>
      </c>
      <c r="N104" s="39" t="str">
        <f t="shared" si="46"/>
        <v>FC</v>
      </c>
      <c r="O104" s="88">
        <v>39</v>
      </c>
      <c r="P104" s="88">
        <v>22</v>
      </c>
      <c r="Q104" s="247">
        <f t="shared" si="59"/>
        <v>61</v>
      </c>
      <c r="R104" s="28">
        <f t="shared" si="47"/>
        <v>61</v>
      </c>
      <c r="S104" s="25" t="str">
        <f t="shared" si="38"/>
        <v>FC</v>
      </c>
      <c r="T104" s="88">
        <v>91</v>
      </c>
      <c r="U104" s="88">
        <v>88</v>
      </c>
      <c r="V104" s="247">
        <f t="shared" si="39"/>
        <v>179</v>
      </c>
      <c r="W104" s="30">
        <f t="shared" si="61"/>
        <v>89.5</v>
      </c>
      <c r="X104" s="25" t="str">
        <f t="shared" si="40"/>
        <v>FCD</v>
      </c>
      <c r="Y104" s="88">
        <v>47</v>
      </c>
      <c r="Z104" s="88">
        <v>35</v>
      </c>
      <c r="AA104" s="257">
        <f t="shared" si="49"/>
        <v>82</v>
      </c>
      <c r="AB104" s="25">
        <f t="shared" si="50"/>
        <v>82</v>
      </c>
      <c r="AC104" s="25" t="str">
        <f t="shared" si="62"/>
        <v>FCD</v>
      </c>
      <c r="AD104" s="88">
        <v>42</v>
      </c>
      <c r="AE104" s="88">
        <v>37</v>
      </c>
      <c r="AF104" s="257">
        <f t="shared" si="60"/>
        <v>79</v>
      </c>
      <c r="AG104" s="25">
        <f t="shared" si="52"/>
        <v>79</v>
      </c>
      <c r="AH104" s="25" t="str">
        <f t="shared" si="53"/>
        <v>FCD</v>
      </c>
      <c r="AI104" s="257">
        <f t="shared" si="63"/>
        <v>533</v>
      </c>
      <c r="AJ104" s="261">
        <f t="shared" si="64"/>
        <v>76.142857142857139</v>
      </c>
      <c r="AK104" s="262" t="str">
        <f t="shared" si="54"/>
        <v>FCD</v>
      </c>
    </row>
    <row r="105" spans="1:37" ht="15.75" hidden="1" x14ac:dyDescent="0.25">
      <c r="A105" s="83">
        <v>96</v>
      </c>
      <c r="B105" s="86" t="s">
        <v>145</v>
      </c>
      <c r="C105" s="276" t="s">
        <v>13</v>
      </c>
      <c r="D105" s="88" t="s">
        <v>243</v>
      </c>
      <c r="E105" s="88">
        <v>41</v>
      </c>
      <c r="F105" s="88">
        <v>33</v>
      </c>
      <c r="G105" s="27">
        <f t="shared" si="58"/>
        <v>74</v>
      </c>
      <c r="H105" s="29">
        <f t="shared" si="42"/>
        <v>74</v>
      </c>
      <c r="I105" s="28" t="str">
        <f t="shared" si="43"/>
        <v>FCD</v>
      </c>
      <c r="J105" s="88">
        <v>49</v>
      </c>
      <c r="K105" s="88">
        <v>37</v>
      </c>
      <c r="L105" s="247">
        <f t="shared" si="44"/>
        <v>86</v>
      </c>
      <c r="M105" s="28">
        <f t="shared" si="45"/>
        <v>86</v>
      </c>
      <c r="N105" s="39" t="str">
        <f t="shared" si="46"/>
        <v>FCD</v>
      </c>
      <c r="O105" s="88">
        <v>42</v>
      </c>
      <c r="P105" s="88">
        <v>38</v>
      </c>
      <c r="Q105" s="247">
        <f t="shared" si="59"/>
        <v>80</v>
      </c>
      <c r="R105" s="28">
        <f t="shared" si="47"/>
        <v>80</v>
      </c>
      <c r="S105" s="25" t="str">
        <f t="shared" si="38"/>
        <v>FCD</v>
      </c>
      <c r="T105" s="88">
        <v>92</v>
      </c>
      <c r="U105" s="88">
        <v>86</v>
      </c>
      <c r="V105" s="247">
        <f t="shared" si="39"/>
        <v>178</v>
      </c>
      <c r="W105" s="30">
        <f t="shared" si="61"/>
        <v>89</v>
      </c>
      <c r="X105" s="25" t="str">
        <f t="shared" si="40"/>
        <v>FCD</v>
      </c>
      <c r="Y105" s="88">
        <v>46</v>
      </c>
      <c r="Z105" s="88">
        <v>36</v>
      </c>
      <c r="AA105" s="257">
        <f t="shared" si="49"/>
        <v>82</v>
      </c>
      <c r="AB105" s="25">
        <f t="shared" si="50"/>
        <v>82</v>
      </c>
      <c r="AC105" s="25" t="str">
        <f t="shared" si="62"/>
        <v>FCD</v>
      </c>
      <c r="AD105" s="88">
        <v>45</v>
      </c>
      <c r="AE105" s="88">
        <v>32</v>
      </c>
      <c r="AF105" s="257">
        <f t="shared" si="60"/>
        <v>77</v>
      </c>
      <c r="AG105" s="25">
        <f t="shared" si="52"/>
        <v>77</v>
      </c>
      <c r="AH105" s="25" t="str">
        <f t="shared" si="53"/>
        <v>FCD</v>
      </c>
      <c r="AI105" s="257">
        <f t="shared" si="63"/>
        <v>577</v>
      </c>
      <c r="AJ105" s="261">
        <f t="shared" si="64"/>
        <v>82.428571428571431</v>
      </c>
      <c r="AK105" s="262" t="str">
        <f t="shared" si="54"/>
        <v>FCD</v>
      </c>
    </row>
    <row r="106" spans="1:37" s="13" customFormat="1" ht="15.75" x14ac:dyDescent="0.25">
      <c r="A106" s="83">
        <v>97</v>
      </c>
      <c r="B106" s="86" t="s">
        <v>146</v>
      </c>
      <c r="C106" s="276" t="s">
        <v>15</v>
      </c>
      <c r="D106" s="88" t="s">
        <v>244</v>
      </c>
      <c r="E106" s="88">
        <v>40</v>
      </c>
      <c r="F106" s="88">
        <v>30</v>
      </c>
      <c r="G106" s="27">
        <f t="shared" si="58"/>
        <v>70</v>
      </c>
      <c r="H106" s="29">
        <f t="shared" si="42"/>
        <v>70</v>
      </c>
      <c r="I106" s="28" t="str">
        <f t="shared" si="43"/>
        <v>FCD</v>
      </c>
      <c r="J106" s="88">
        <v>47</v>
      </c>
      <c r="K106" s="88">
        <v>28</v>
      </c>
      <c r="L106" s="247">
        <f t="shared" si="44"/>
        <v>75</v>
      </c>
      <c r="M106" s="28">
        <f t="shared" si="45"/>
        <v>75</v>
      </c>
      <c r="N106" s="39" t="str">
        <f t="shared" si="46"/>
        <v>FCD</v>
      </c>
      <c r="O106" s="88">
        <v>42</v>
      </c>
      <c r="P106" s="88">
        <v>33</v>
      </c>
      <c r="Q106" s="247">
        <f t="shared" si="59"/>
        <v>75</v>
      </c>
      <c r="R106" s="28">
        <f t="shared" si="47"/>
        <v>75</v>
      </c>
      <c r="S106" s="25" t="str">
        <f t="shared" si="38"/>
        <v>FCD</v>
      </c>
      <c r="T106" s="88">
        <v>84</v>
      </c>
      <c r="U106" s="88">
        <v>87</v>
      </c>
      <c r="V106" s="247">
        <f t="shared" si="39"/>
        <v>171</v>
      </c>
      <c r="W106" s="30">
        <f t="shared" si="61"/>
        <v>85.5</v>
      </c>
      <c r="X106" s="25" t="str">
        <f t="shared" si="40"/>
        <v>FCD</v>
      </c>
      <c r="Y106" s="88">
        <v>44</v>
      </c>
      <c r="Z106" s="88">
        <v>37</v>
      </c>
      <c r="AA106" s="257">
        <f t="shared" si="49"/>
        <v>81</v>
      </c>
      <c r="AB106" s="25">
        <f t="shared" si="50"/>
        <v>81</v>
      </c>
      <c r="AC106" s="25" t="str">
        <f t="shared" si="62"/>
        <v>FCD</v>
      </c>
      <c r="AD106" s="88">
        <v>45</v>
      </c>
      <c r="AE106" s="88">
        <v>32</v>
      </c>
      <c r="AF106" s="257">
        <f t="shared" si="60"/>
        <v>77</v>
      </c>
      <c r="AG106" s="25">
        <f t="shared" si="52"/>
        <v>77</v>
      </c>
      <c r="AH106" s="25" t="str">
        <f t="shared" si="53"/>
        <v>FCD</v>
      </c>
      <c r="AI106" s="257">
        <f t="shared" si="63"/>
        <v>549</v>
      </c>
      <c r="AJ106" s="261">
        <f t="shared" si="64"/>
        <v>78.428571428571431</v>
      </c>
      <c r="AK106" s="262" t="str">
        <f t="shared" si="54"/>
        <v>FCD</v>
      </c>
    </row>
    <row r="107" spans="1:37" ht="15.75" x14ac:dyDescent="0.25">
      <c r="A107" s="83">
        <v>98</v>
      </c>
      <c r="B107" s="86" t="s">
        <v>147</v>
      </c>
      <c r="C107" s="276" t="s">
        <v>15</v>
      </c>
      <c r="D107" s="88" t="s">
        <v>245</v>
      </c>
      <c r="E107" s="88">
        <v>43</v>
      </c>
      <c r="F107" s="88">
        <v>25</v>
      </c>
      <c r="G107" s="27">
        <f t="shared" si="58"/>
        <v>68</v>
      </c>
      <c r="H107" s="29">
        <f t="shared" si="42"/>
        <v>68</v>
      </c>
      <c r="I107" s="28" t="str">
        <f t="shared" si="43"/>
        <v>FC</v>
      </c>
      <c r="J107" s="88">
        <v>48</v>
      </c>
      <c r="K107" s="88">
        <v>35</v>
      </c>
      <c r="L107" s="247">
        <f t="shared" si="44"/>
        <v>83</v>
      </c>
      <c r="M107" s="28">
        <f t="shared" si="45"/>
        <v>83</v>
      </c>
      <c r="N107" s="39" t="str">
        <f t="shared" si="46"/>
        <v>FCD</v>
      </c>
      <c r="O107" s="88">
        <v>41</v>
      </c>
      <c r="P107" s="88">
        <v>29</v>
      </c>
      <c r="Q107" s="247">
        <f t="shared" si="59"/>
        <v>70</v>
      </c>
      <c r="R107" s="28">
        <f t="shared" si="47"/>
        <v>70</v>
      </c>
      <c r="S107" s="25" t="str">
        <f t="shared" si="38"/>
        <v>FCD</v>
      </c>
      <c r="T107" s="88">
        <v>91</v>
      </c>
      <c r="U107" s="88">
        <v>88</v>
      </c>
      <c r="V107" s="247">
        <f t="shared" si="39"/>
        <v>179</v>
      </c>
      <c r="W107" s="30">
        <f t="shared" si="61"/>
        <v>89.5</v>
      </c>
      <c r="X107" s="25" t="str">
        <f t="shared" si="40"/>
        <v>FCD</v>
      </c>
      <c r="Y107" s="88">
        <v>45</v>
      </c>
      <c r="Z107" s="88">
        <v>36</v>
      </c>
      <c r="AA107" s="257">
        <f t="shared" si="49"/>
        <v>81</v>
      </c>
      <c r="AB107" s="25">
        <f t="shared" si="50"/>
        <v>81</v>
      </c>
      <c r="AC107" s="25" t="str">
        <f t="shared" si="62"/>
        <v>FCD</v>
      </c>
      <c r="AD107" s="88">
        <v>44</v>
      </c>
      <c r="AE107" s="88">
        <v>33</v>
      </c>
      <c r="AF107" s="257">
        <f t="shared" si="60"/>
        <v>77</v>
      </c>
      <c r="AG107" s="25">
        <f t="shared" si="52"/>
        <v>77</v>
      </c>
      <c r="AH107" s="25" t="str">
        <f t="shared" si="53"/>
        <v>FCD</v>
      </c>
      <c r="AI107" s="257">
        <f t="shared" si="63"/>
        <v>558</v>
      </c>
      <c r="AJ107" s="261">
        <f t="shared" si="64"/>
        <v>79.714285714285708</v>
      </c>
      <c r="AK107" s="262" t="str">
        <f t="shared" si="54"/>
        <v>FCD</v>
      </c>
    </row>
    <row r="108" spans="1:37" ht="15.75" x14ac:dyDescent="0.25">
      <c r="A108" s="83">
        <v>99</v>
      </c>
      <c r="B108" s="86" t="s">
        <v>148</v>
      </c>
      <c r="C108" s="276" t="s">
        <v>15</v>
      </c>
      <c r="D108" s="88" t="s">
        <v>246</v>
      </c>
      <c r="E108" s="88">
        <v>44</v>
      </c>
      <c r="F108" s="88">
        <v>25</v>
      </c>
      <c r="G108" s="27">
        <f t="shared" si="58"/>
        <v>69</v>
      </c>
      <c r="H108" s="29">
        <f t="shared" si="42"/>
        <v>69</v>
      </c>
      <c r="I108" s="28" t="str">
        <f t="shared" si="43"/>
        <v>FC</v>
      </c>
      <c r="J108" s="88">
        <v>48</v>
      </c>
      <c r="K108" s="88">
        <v>18</v>
      </c>
      <c r="L108" s="247">
        <f t="shared" si="44"/>
        <v>66</v>
      </c>
      <c r="M108" s="28">
        <f t="shared" si="45"/>
        <v>66</v>
      </c>
      <c r="N108" s="39" t="str">
        <f t="shared" si="46"/>
        <v>FC</v>
      </c>
      <c r="O108" s="88">
        <v>50</v>
      </c>
      <c r="P108" s="88">
        <v>34</v>
      </c>
      <c r="Q108" s="247">
        <f t="shared" si="59"/>
        <v>84</v>
      </c>
      <c r="R108" s="28">
        <f t="shared" si="47"/>
        <v>84</v>
      </c>
      <c r="S108" s="25" t="str">
        <f t="shared" si="38"/>
        <v>FCD</v>
      </c>
      <c r="T108" s="88">
        <v>97</v>
      </c>
      <c r="U108" s="88">
        <v>93</v>
      </c>
      <c r="V108" s="247">
        <f t="shared" si="39"/>
        <v>190</v>
      </c>
      <c r="W108" s="30">
        <f t="shared" si="61"/>
        <v>95</v>
      </c>
      <c r="X108" s="25" t="str">
        <f t="shared" si="40"/>
        <v>FCD</v>
      </c>
      <c r="Y108" s="88">
        <v>50</v>
      </c>
      <c r="Z108" s="88">
        <v>38</v>
      </c>
      <c r="AA108" s="257">
        <f t="shared" si="49"/>
        <v>88</v>
      </c>
      <c r="AB108" s="25">
        <f t="shared" si="50"/>
        <v>88</v>
      </c>
      <c r="AC108" s="25" t="str">
        <f t="shared" si="62"/>
        <v>FCD</v>
      </c>
      <c r="AD108" s="88">
        <v>46</v>
      </c>
      <c r="AE108" s="88">
        <v>34</v>
      </c>
      <c r="AF108" s="257">
        <f t="shared" si="60"/>
        <v>80</v>
      </c>
      <c r="AG108" s="25">
        <f t="shared" si="52"/>
        <v>80</v>
      </c>
      <c r="AH108" s="25" t="str">
        <f t="shared" si="53"/>
        <v>FCD</v>
      </c>
      <c r="AI108" s="257">
        <f t="shared" si="63"/>
        <v>577</v>
      </c>
      <c r="AJ108" s="261">
        <f t="shared" si="64"/>
        <v>82.428571428571431</v>
      </c>
      <c r="AK108" s="262" t="str">
        <f t="shared" si="54"/>
        <v>FCD</v>
      </c>
    </row>
    <row r="109" spans="1:37" ht="15.75" x14ac:dyDescent="0.25">
      <c r="A109" s="90"/>
      <c r="B109" s="91"/>
      <c r="C109" s="92"/>
      <c r="D109" s="93"/>
      <c r="E109" s="94"/>
      <c r="F109" s="94"/>
      <c r="G109" s="95"/>
      <c r="H109" s="96"/>
      <c r="I109" s="97"/>
      <c r="J109" s="94"/>
      <c r="K109" s="94"/>
      <c r="L109" s="98"/>
      <c r="M109" s="97"/>
      <c r="N109" s="99"/>
      <c r="O109" s="94"/>
      <c r="P109" s="94"/>
      <c r="Q109" s="98"/>
      <c r="R109" s="97"/>
      <c r="S109" s="100"/>
      <c r="T109" s="101"/>
      <c r="U109" s="101"/>
      <c r="V109" s="98"/>
      <c r="W109" s="98"/>
      <c r="X109" s="100"/>
      <c r="Y109" s="101"/>
      <c r="Z109" s="101"/>
      <c r="AA109" s="100"/>
      <c r="AB109" s="100"/>
      <c r="AC109" s="100"/>
      <c r="AD109" s="101"/>
      <c r="AE109" s="101"/>
      <c r="AF109" s="100"/>
      <c r="AG109" s="100"/>
      <c r="AH109" s="100"/>
      <c r="AI109" s="100"/>
      <c r="AJ109" s="102"/>
      <c r="AK109" s="103"/>
    </row>
    <row r="110" spans="1:37" ht="15.95" customHeight="1" x14ac:dyDescent="0.25">
      <c r="A110" s="90"/>
      <c r="B110" s="91"/>
      <c r="C110" s="92"/>
      <c r="D110" s="93"/>
      <c r="E110" s="94"/>
      <c r="F110" s="94"/>
      <c r="G110" s="95"/>
      <c r="H110" s="96"/>
      <c r="I110" s="97"/>
      <c r="J110" s="94"/>
      <c r="K110" s="94"/>
      <c r="L110" s="98"/>
      <c r="M110" s="97"/>
      <c r="N110" s="99"/>
      <c r="O110" s="94"/>
      <c r="P110" s="94"/>
      <c r="Q110" s="98"/>
      <c r="R110" s="97"/>
      <c r="S110" s="100"/>
      <c r="T110" s="101"/>
      <c r="U110" s="101"/>
      <c r="V110" s="98"/>
      <c r="W110" s="98"/>
      <c r="X110" s="100"/>
      <c r="Y110" s="101"/>
      <c r="Z110" s="101"/>
      <c r="AA110" s="100"/>
      <c r="AB110" s="100"/>
      <c r="AC110" s="100"/>
      <c r="AD110" s="101"/>
      <c r="AE110" s="101"/>
      <c r="AF110" s="100"/>
      <c r="AG110" s="100"/>
      <c r="AH110" s="100"/>
      <c r="AI110" s="100"/>
      <c r="AJ110" s="102"/>
      <c r="AK110" s="103"/>
    </row>
    <row r="111" spans="1:37" ht="15.95" customHeight="1" x14ac:dyDescent="0.25">
      <c r="A111" s="90"/>
      <c r="B111" s="91"/>
      <c r="C111" s="92"/>
      <c r="D111" s="93"/>
      <c r="E111" s="94"/>
      <c r="F111" s="94"/>
      <c r="G111" s="95"/>
      <c r="H111" s="96"/>
      <c r="I111" s="97"/>
      <c r="J111" s="94"/>
      <c r="K111" s="94"/>
      <c r="L111" s="98"/>
      <c r="M111" s="97"/>
      <c r="N111" s="99"/>
      <c r="O111" s="94"/>
      <c r="P111" s="94"/>
      <c r="Q111" s="98"/>
      <c r="R111" s="97"/>
      <c r="S111" s="100"/>
      <c r="T111" s="101"/>
      <c r="U111" s="101"/>
      <c r="V111" s="98"/>
      <c r="W111" s="98"/>
      <c r="X111" s="100"/>
      <c r="Y111" s="101"/>
      <c r="Z111" s="101"/>
      <c r="AA111" s="100"/>
      <c r="AB111" s="100"/>
      <c r="AC111" s="100"/>
      <c r="AD111" s="101"/>
      <c r="AE111" s="101"/>
      <c r="AF111" s="100"/>
      <c r="AG111" s="100"/>
      <c r="AH111" s="100"/>
      <c r="AI111" s="100"/>
      <c r="AJ111" s="102"/>
      <c r="AK111" s="103"/>
    </row>
    <row r="112" spans="1:37" ht="15.95" customHeight="1" x14ac:dyDescent="0.25">
      <c r="A112" s="90"/>
      <c r="B112" s="91"/>
      <c r="C112" s="92"/>
      <c r="D112" s="93"/>
      <c r="E112" s="94"/>
      <c r="F112" s="94"/>
      <c r="G112" s="95"/>
      <c r="H112" s="96"/>
      <c r="I112" s="97"/>
      <c r="J112" s="94"/>
      <c r="K112" s="94"/>
      <c r="L112" s="98"/>
      <c r="M112" s="97"/>
      <c r="N112" s="99"/>
      <c r="O112" s="94"/>
      <c r="P112" s="94"/>
      <c r="Q112" s="98"/>
      <c r="R112" s="97"/>
      <c r="S112" s="100"/>
      <c r="T112" s="101"/>
      <c r="U112" s="101"/>
      <c r="V112" s="98"/>
      <c r="W112" s="98"/>
      <c r="X112" s="100"/>
      <c r="Y112" s="101"/>
      <c r="Z112" s="101"/>
      <c r="AA112" s="100"/>
      <c r="AB112" s="100"/>
      <c r="AC112" s="100"/>
      <c r="AD112" s="101"/>
      <c r="AE112" s="101"/>
      <c r="AF112" s="100"/>
      <c r="AG112" s="100"/>
      <c r="AH112" s="100"/>
      <c r="AI112" s="100"/>
      <c r="AJ112" s="102"/>
      <c r="AK112" s="103"/>
    </row>
    <row r="113" spans="1:37" ht="15.95" customHeight="1" x14ac:dyDescent="0.25">
      <c r="A113" s="90"/>
      <c r="B113" s="91"/>
      <c r="C113" s="92"/>
      <c r="D113" s="93"/>
      <c r="E113" s="94"/>
      <c r="F113" s="94"/>
      <c r="G113" s="95"/>
      <c r="H113" s="96"/>
      <c r="I113" s="97"/>
      <c r="J113" s="94"/>
      <c r="K113" s="94"/>
      <c r="L113" s="98"/>
      <c r="M113" s="97"/>
      <c r="N113" s="99"/>
      <c r="O113" s="94"/>
      <c r="P113" s="94"/>
      <c r="Q113" s="98"/>
      <c r="R113" s="97"/>
      <c r="S113" s="100"/>
      <c r="T113" s="101"/>
      <c r="U113" s="101"/>
      <c r="V113" s="98"/>
      <c r="W113" s="98"/>
      <c r="X113" s="100"/>
      <c r="Y113" s="101"/>
      <c r="Z113" s="101"/>
      <c r="AA113" s="100"/>
      <c r="AB113" s="100"/>
      <c r="AC113" s="100"/>
      <c r="AD113" s="101"/>
      <c r="AE113" s="101"/>
      <c r="AF113" s="100"/>
      <c r="AG113" s="100"/>
      <c r="AH113" s="100"/>
      <c r="AI113" s="100"/>
      <c r="AJ113" s="102"/>
      <c r="AK113" s="103"/>
    </row>
    <row r="114" spans="1:37" ht="15.95" customHeight="1" x14ac:dyDescent="0.25">
      <c r="A114" s="90"/>
      <c r="B114" s="91"/>
      <c r="C114" s="92"/>
      <c r="D114" s="93"/>
      <c r="E114" s="94"/>
      <c r="F114" s="94"/>
      <c r="G114" s="95"/>
      <c r="H114" s="96"/>
      <c r="I114" s="97"/>
      <c r="J114" s="104"/>
      <c r="K114" s="104"/>
      <c r="L114" s="105"/>
      <c r="M114" s="106"/>
      <c r="N114" s="107"/>
      <c r="O114" s="94"/>
      <c r="P114" s="94"/>
      <c r="Q114" s="98"/>
      <c r="R114" s="97"/>
      <c r="S114" s="100"/>
      <c r="T114" s="101"/>
      <c r="U114" s="101"/>
      <c r="V114" s="98"/>
      <c r="W114" s="98"/>
      <c r="X114" s="100"/>
      <c r="Y114" s="101"/>
      <c r="Z114" s="101"/>
      <c r="AA114" s="100"/>
      <c r="AB114" s="100"/>
      <c r="AC114" s="100"/>
      <c r="AD114" s="101"/>
      <c r="AE114" s="101"/>
      <c r="AF114" s="100"/>
      <c r="AG114" s="100"/>
      <c r="AH114" s="100"/>
      <c r="AI114" s="100"/>
      <c r="AJ114" s="102"/>
      <c r="AK114" s="103"/>
    </row>
    <row r="115" spans="1:37" ht="15.95" customHeight="1" x14ac:dyDescent="0.25">
      <c r="A115" s="90"/>
      <c r="B115" s="91"/>
      <c r="C115" s="92"/>
      <c r="D115" s="93"/>
      <c r="E115" s="94"/>
      <c r="F115" s="94"/>
      <c r="G115" s="95"/>
      <c r="H115" s="96"/>
      <c r="I115" s="97"/>
      <c r="J115" s="94"/>
      <c r="K115" s="94"/>
      <c r="L115" s="98"/>
      <c r="M115" s="97"/>
      <c r="N115" s="99"/>
      <c r="O115" s="94"/>
      <c r="P115" s="94"/>
      <c r="Q115" s="98"/>
      <c r="R115" s="97"/>
      <c r="S115" s="100"/>
      <c r="T115" s="101"/>
      <c r="U115" s="101"/>
      <c r="V115" s="98"/>
      <c r="W115" s="98"/>
      <c r="X115" s="100"/>
      <c r="Y115" s="101"/>
      <c r="Z115" s="101"/>
      <c r="AA115" s="100"/>
      <c r="AB115" s="100"/>
      <c r="AC115" s="100"/>
      <c r="AD115" s="101"/>
      <c r="AE115" s="101"/>
      <c r="AF115" s="100"/>
      <c r="AG115" s="100"/>
      <c r="AH115" s="100"/>
      <c r="AI115" s="100"/>
      <c r="AJ115" s="102"/>
      <c r="AK115" s="103"/>
    </row>
    <row r="116" spans="1:37" ht="15.95" customHeight="1" x14ac:dyDescent="0.25">
      <c r="A116" s="90"/>
      <c r="B116" s="91"/>
      <c r="C116" s="92"/>
      <c r="D116" s="93"/>
      <c r="E116" s="94"/>
      <c r="F116" s="94"/>
      <c r="G116" s="95"/>
      <c r="H116" s="96"/>
      <c r="I116" s="97"/>
      <c r="J116" s="94"/>
      <c r="K116" s="94"/>
      <c r="L116" s="98"/>
      <c r="M116" s="97"/>
      <c r="N116" s="99"/>
      <c r="O116" s="94"/>
      <c r="P116" s="94"/>
      <c r="Q116" s="98"/>
      <c r="R116" s="97"/>
      <c r="S116" s="100"/>
      <c r="T116" s="101"/>
      <c r="U116" s="101"/>
      <c r="V116" s="98"/>
      <c r="W116" s="98"/>
      <c r="X116" s="100"/>
      <c r="Y116" s="101"/>
      <c r="Z116" s="101"/>
      <c r="AA116" s="100"/>
      <c r="AB116" s="100"/>
      <c r="AC116" s="100"/>
      <c r="AD116" s="101"/>
      <c r="AE116" s="101"/>
      <c r="AF116" s="100"/>
      <c r="AG116" s="100"/>
      <c r="AH116" s="100"/>
      <c r="AI116" s="100"/>
      <c r="AJ116" s="102"/>
      <c r="AK116" s="103"/>
    </row>
    <row r="117" spans="1:37" ht="15.95" customHeight="1" x14ac:dyDescent="0.25">
      <c r="A117" s="90"/>
      <c r="B117" s="91"/>
      <c r="C117" s="92"/>
      <c r="D117" s="93"/>
      <c r="E117" s="94"/>
      <c r="F117" s="94"/>
      <c r="G117" s="95"/>
      <c r="H117" s="96"/>
      <c r="I117" s="97"/>
      <c r="J117" s="94"/>
      <c r="K117" s="94"/>
      <c r="L117" s="98"/>
      <c r="M117" s="97"/>
      <c r="N117" s="99"/>
      <c r="O117" s="94"/>
      <c r="P117" s="94"/>
      <c r="Q117" s="98"/>
      <c r="R117" s="97"/>
      <c r="S117" s="100"/>
      <c r="T117" s="101"/>
      <c r="U117" s="101"/>
      <c r="V117" s="98"/>
      <c r="W117" s="98"/>
      <c r="X117" s="100"/>
      <c r="Y117" s="101"/>
      <c r="Z117" s="101"/>
      <c r="AA117" s="100"/>
      <c r="AB117" s="100"/>
      <c r="AC117" s="100"/>
      <c r="AD117" s="101"/>
      <c r="AE117" s="101"/>
      <c r="AF117" s="100"/>
      <c r="AG117" s="100"/>
      <c r="AH117" s="100"/>
      <c r="AI117" s="100"/>
      <c r="AJ117" s="102"/>
      <c r="AK117" s="103"/>
    </row>
    <row r="118" spans="1:37" ht="15.95" customHeight="1" x14ac:dyDescent="0.25">
      <c r="A118" s="90"/>
      <c r="B118" s="91"/>
      <c r="C118" s="92"/>
      <c r="D118" s="93"/>
      <c r="E118" s="94"/>
      <c r="F118" s="94"/>
      <c r="G118" s="95"/>
      <c r="H118" s="96"/>
      <c r="I118" s="97"/>
      <c r="J118" s="94"/>
      <c r="K118" s="94"/>
      <c r="L118" s="98"/>
      <c r="M118" s="97"/>
      <c r="N118" s="99"/>
      <c r="O118" s="94"/>
      <c r="P118" s="94"/>
      <c r="Q118" s="98"/>
      <c r="R118" s="97"/>
      <c r="S118" s="100"/>
      <c r="T118" s="101"/>
      <c r="U118" s="101"/>
      <c r="V118" s="98"/>
      <c r="W118" s="98"/>
      <c r="X118" s="100"/>
      <c r="Y118" s="101"/>
      <c r="Z118" s="101"/>
      <c r="AA118" s="100"/>
      <c r="AB118" s="100"/>
      <c r="AC118" s="100"/>
      <c r="AD118" s="101"/>
      <c r="AE118" s="101"/>
      <c r="AF118" s="100"/>
      <c r="AG118" s="100"/>
      <c r="AH118" s="100"/>
      <c r="AI118" s="100"/>
      <c r="AJ118" s="102"/>
      <c r="AK118" s="103"/>
    </row>
    <row r="119" spans="1:37" ht="15.95" customHeight="1" x14ac:dyDescent="0.25">
      <c r="A119" s="90"/>
      <c r="B119" s="91"/>
      <c r="C119" s="92"/>
      <c r="D119" s="93"/>
      <c r="E119" s="94"/>
      <c r="F119" s="94"/>
      <c r="G119" s="95"/>
      <c r="H119" s="96"/>
      <c r="I119" s="97"/>
      <c r="J119" s="94"/>
      <c r="K119" s="94"/>
      <c r="L119" s="98"/>
      <c r="M119" s="97"/>
      <c r="N119" s="99"/>
      <c r="O119" s="94"/>
      <c r="P119" s="94"/>
      <c r="Q119" s="98"/>
      <c r="R119" s="97"/>
      <c r="S119" s="100"/>
      <c r="T119" s="101"/>
      <c r="U119" s="101"/>
      <c r="V119" s="98"/>
      <c r="W119" s="98"/>
      <c r="X119" s="100"/>
      <c r="Y119" s="101"/>
      <c r="Z119" s="101"/>
      <c r="AA119" s="100"/>
      <c r="AB119" s="100"/>
      <c r="AC119" s="100"/>
      <c r="AD119" s="101"/>
      <c r="AE119" s="101"/>
      <c r="AF119" s="100"/>
      <c r="AG119" s="100"/>
      <c r="AH119" s="100"/>
      <c r="AI119" s="100"/>
      <c r="AJ119" s="102"/>
      <c r="AK119" s="103"/>
    </row>
    <row r="120" spans="1:37" ht="15.95" customHeight="1" x14ac:dyDescent="0.25">
      <c r="A120" s="90"/>
      <c r="B120" s="91"/>
      <c r="C120" s="92"/>
      <c r="D120" s="93"/>
      <c r="E120" s="94"/>
      <c r="F120" s="94"/>
      <c r="G120" s="95"/>
      <c r="H120" s="96"/>
      <c r="I120" s="97"/>
      <c r="J120" s="94"/>
      <c r="K120" s="94"/>
      <c r="L120" s="98"/>
      <c r="M120" s="97"/>
      <c r="N120" s="99"/>
      <c r="O120" s="94"/>
      <c r="P120" s="94"/>
      <c r="Q120" s="98"/>
      <c r="R120" s="97"/>
      <c r="S120" s="100"/>
      <c r="T120" s="101"/>
      <c r="U120" s="101"/>
      <c r="V120" s="98"/>
      <c r="W120" s="98"/>
      <c r="X120" s="100"/>
      <c r="Y120" s="101"/>
      <c r="Z120" s="101"/>
      <c r="AA120" s="100"/>
      <c r="AB120" s="100"/>
      <c r="AC120" s="100"/>
      <c r="AD120" s="101"/>
      <c r="AE120" s="101"/>
      <c r="AF120" s="100"/>
      <c r="AG120" s="100"/>
      <c r="AH120" s="100"/>
      <c r="AI120" s="100"/>
      <c r="AJ120" s="102"/>
      <c r="AK120" s="103"/>
    </row>
    <row r="121" spans="1:37" ht="15.95" customHeight="1" x14ac:dyDescent="0.25">
      <c r="A121" s="90"/>
      <c r="B121" s="91"/>
      <c r="C121" s="92"/>
      <c r="D121" s="93"/>
      <c r="E121" s="94"/>
      <c r="F121" s="94"/>
      <c r="G121" s="95"/>
      <c r="H121" s="96"/>
      <c r="I121" s="97"/>
      <c r="J121" s="94"/>
      <c r="K121" s="94"/>
      <c r="L121" s="98"/>
      <c r="M121" s="97"/>
      <c r="N121" s="99"/>
      <c r="O121" s="94"/>
      <c r="P121" s="94"/>
      <c r="Q121" s="98"/>
      <c r="R121" s="97"/>
      <c r="S121" s="100"/>
      <c r="T121" s="101"/>
      <c r="U121" s="101"/>
      <c r="V121" s="98"/>
      <c r="W121" s="98"/>
      <c r="X121" s="100"/>
      <c r="Y121" s="101"/>
      <c r="Z121" s="101"/>
      <c r="AA121" s="100"/>
      <c r="AB121" s="100"/>
      <c r="AC121" s="100"/>
      <c r="AD121" s="101"/>
      <c r="AE121" s="101"/>
      <c r="AF121" s="100"/>
      <c r="AG121" s="100"/>
      <c r="AH121" s="100"/>
      <c r="AI121" s="100"/>
      <c r="AJ121" s="102"/>
      <c r="AK121" s="103"/>
    </row>
    <row r="122" spans="1:37" ht="15.95" customHeight="1" x14ac:dyDescent="0.25">
      <c r="A122" s="90"/>
      <c r="B122" s="91"/>
      <c r="C122" s="92"/>
      <c r="D122" s="93"/>
      <c r="E122" s="94"/>
      <c r="F122" s="94"/>
      <c r="G122" s="95"/>
      <c r="H122" s="96"/>
      <c r="I122" s="97"/>
      <c r="J122" s="94"/>
      <c r="K122" s="94"/>
      <c r="L122" s="98"/>
      <c r="M122" s="97"/>
      <c r="N122" s="99"/>
      <c r="O122" s="94"/>
      <c r="P122" s="94"/>
      <c r="Q122" s="98"/>
      <c r="R122" s="97"/>
      <c r="S122" s="100"/>
      <c r="T122" s="101"/>
      <c r="U122" s="101"/>
      <c r="V122" s="98"/>
      <c r="W122" s="98"/>
      <c r="X122" s="100"/>
      <c r="Y122" s="101"/>
      <c r="Z122" s="101"/>
      <c r="AA122" s="100"/>
      <c r="AB122" s="100"/>
      <c r="AC122" s="100"/>
      <c r="AD122" s="101"/>
      <c r="AE122" s="101"/>
      <c r="AF122" s="100"/>
      <c r="AG122" s="100"/>
      <c r="AH122" s="100"/>
      <c r="AI122" s="100"/>
      <c r="AJ122" s="102"/>
      <c r="AK122" s="103"/>
    </row>
    <row r="123" spans="1:37" ht="15.95" customHeight="1" x14ac:dyDescent="0.25">
      <c r="A123" s="90"/>
      <c r="B123" s="91"/>
      <c r="C123" s="92"/>
      <c r="D123" s="93"/>
      <c r="E123" s="94"/>
      <c r="F123" s="94"/>
      <c r="G123" s="95"/>
      <c r="H123" s="96"/>
      <c r="I123" s="97"/>
      <c r="J123" s="94"/>
      <c r="K123" s="94"/>
      <c r="L123" s="98"/>
      <c r="M123" s="97"/>
      <c r="N123" s="99"/>
      <c r="O123" s="94"/>
      <c r="P123" s="94"/>
      <c r="Q123" s="98"/>
      <c r="R123" s="97"/>
      <c r="S123" s="100"/>
      <c r="T123" s="101"/>
      <c r="U123" s="101"/>
      <c r="V123" s="98"/>
      <c r="W123" s="98"/>
      <c r="X123" s="100"/>
      <c r="Y123" s="101"/>
      <c r="Z123" s="101"/>
      <c r="AA123" s="100"/>
      <c r="AB123" s="100"/>
      <c r="AC123" s="100"/>
      <c r="AD123" s="101"/>
      <c r="AE123" s="101"/>
      <c r="AF123" s="100"/>
      <c r="AG123" s="100"/>
      <c r="AH123" s="100"/>
      <c r="AI123" s="100"/>
      <c r="AJ123" s="102"/>
      <c r="AK123" s="103"/>
    </row>
    <row r="124" spans="1:37" ht="15.95" customHeight="1" x14ac:dyDescent="0.25">
      <c r="A124" s="90"/>
      <c r="B124" s="91"/>
      <c r="C124" s="92"/>
      <c r="D124" s="93"/>
      <c r="E124" s="94"/>
      <c r="F124" s="94"/>
      <c r="G124" s="95"/>
      <c r="H124" s="96"/>
      <c r="I124" s="97"/>
      <c r="J124" s="94"/>
      <c r="K124" s="94"/>
      <c r="L124" s="98"/>
      <c r="M124" s="97"/>
      <c r="N124" s="99"/>
      <c r="O124" s="94"/>
      <c r="P124" s="94"/>
      <c r="Q124" s="98"/>
      <c r="R124" s="97"/>
      <c r="S124" s="100"/>
      <c r="T124" s="101"/>
      <c r="U124" s="101"/>
      <c r="V124" s="98"/>
      <c r="W124" s="98"/>
      <c r="X124" s="100"/>
      <c r="Y124" s="101"/>
      <c r="Z124" s="101"/>
      <c r="AA124" s="100"/>
      <c r="AB124" s="100"/>
      <c r="AC124" s="100"/>
      <c r="AD124" s="101"/>
      <c r="AE124" s="101"/>
      <c r="AF124" s="100"/>
      <c r="AG124" s="100"/>
      <c r="AH124" s="100"/>
      <c r="AI124" s="100"/>
      <c r="AJ124" s="102"/>
      <c r="AK124" s="103"/>
    </row>
    <row r="125" spans="1:37" ht="15.95" customHeight="1" x14ac:dyDescent="0.25">
      <c r="A125" s="90"/>
      <c r="B125" s="91"/>
      <c r="C125" s="92"/>
      <c r="D125" s="108"/>
      <c r="E125" s="94"/>
      <c r="F125" s="94"/>
      <c r="G125" s="95"/>
      <c r="H125" s="96"/>
      <c r="I125" s="97"/>
      <c r="J125" s="94"/>
      <c r="K125" s="94"/>
      <c r="L125" s="98"/>
      <c r="M125" s="97"/>
      <c r="N125" s="99"/>
      <c r="O125" s="94"/>
      <c r="P125" s="94"/>
      <c r="Q125" s="98"/>
      <c r="R125" s="97"/>
      <c r="S125" s="100"/>
      <c r="T125" s="101"/>
      <c r="U125" s="101"/>
      <c r="V125" s="98"/>
      <c r="W125" s="98"/>
      <c r="X125" s="100"/>
      <c r="Y125" s="101"/>
      <c r="Z125" s="101"/>
      <c r="AA125" s="100"/>
      <c r="AB125" s="100"/>
      <c r="AC125" s="100"/>
      <c r="AD125" s="101"/>
      <c r="AE125" s="101"/>
      <c r="AF125" s="100"/>
      <c r="AG125" s="100"/>
      <c r="AH125" s="100"/>
      <c r="AI125" s="100"/>
      <c r="AJ125" s="102"/>
      <c r="AK125" s="103"/>
    </row>
    <row r="126" spans="1:37" ht="15.95" customHeight="1" x14ac:dyDescent="0.25">
      <c r="A126" s="90"/>
      <c r="B126" s="91"/>
      <c r="C126" s="92"/>
      <c r="D126" s="108"/>
      <c r="E126" s="94"/>
      <c r="F126" s="94"/>
      <c r="G126" s="95"/>
      <c r="H126" s="96"/>
      <c r="I126" s="97"/>
      <c r="J126" s="94"/>
      <c r="K126" s="94"/>
      <c r="L126" s="98"/>
      <c r="M126" s="97"/>
      <c r="N126" s="99"/>
      <c r="O126" s="94"/>
      <c r="P126" s="94"/>
      <c r="Q126" s="98"/>
      <c r="R126" s="97"/>
      <c r="S126" s="100"/>
      <c r="T126" s="101"/>
      <c r="U126" s="101"/>
      <c r="V126" s="98"/>
      <c r="W126" s="98"/>
      <c r="X126" s="100"/>
      <c r="Y126" s="101"/>
      <c r="Z126" s="101"/>
      <c r="AA126" s="100"/>
      <c r="AB126" s="100"/>
      <c r="AC126" s="100"/>
      <c r="AD126" s="101"/>
      <c r="AE126" s="101"/>
      <c r="AF126" s="100"/>
      <c r="AG126" s="100"/>
      <c r="AH126" s="100"/>
      <c r="AI126" s="100"/>
      <c r="AJ126" s="102"/>
      <c r="AK126" s="103"/>
    </row>
    <row r="127" spans="1:37" ht="15.95" customHeight="1" x14ac:dyDescent="0.25">
      <c r="A127" s="90"/>
      <c r="B127" s="91"/>
      <c r="C127" s="92"/>
      <c r="D127" s="108"/>
      <c r="E127" s="94"/>
      <c r="F127" s="94"/>
      <c r="G127" s="95"/>
      <c r="H127" s="96"/>
      <c r="I127" s="97"/>
      <c r="J127" s="104"/>
      <c r="K127" s="104"/>
      <c r="L127" s="105"/>
      <c r="M127" s="106"/>
      <c r="N127" s="107"/>
      <c r="O127" s="104"/>
      <c r="P127" s="104"/>
      <c r="Q127" s="105"/>
      <c r="R127" s="106"/>
      <c r="S127" s="109"/>
      <c r="T127" s="101"/>
      <c r="U127" s="101"/>
      <c r="V127" s="98"/>
      <c r="W127" s="98"/>
      <c r="X127" s="100"/>
      <c r="Y127" s="101"/>
      <c r="Z127" s="101"/>
      <c r="AA127" s="100"/>
      <c r="AB127" s="100"/>
      <c r="AC127" s="100"/>
      <c r="AD127" s="110"/>
      <c r="AE127" s="110"/>
      <c r="AF127" s="109"/>
      <c r="AG127" s="109"/>
      <c r="AH127" s="109"/>
      <c r="AI127" s="109"/>
      <c r="AJ127" s="102"/>
      <c r="AK127" s="103"/>
    </row>
    <row r="128" spans="1:37" ht="15.95" customHeight="1" x14ac:dyDescent="0.25">
      <c r="A128" s="90"/>
      <c r="B128" s="91"/>
      <c r="C128" s="92"/>
      <c r="D128" s="108"/>
      <c r="E128" s="94"/>
      <c r="F128" s="94"/>
      <c r="G128" s="95"/>
      <c r="H128" s="96"/>
      <c r="I128" s="97"/>
      <c r="J128" s="94"/>
      <c r="K128" s="94"/>
      <c r="L128" s="98"/>
      <c r="M128" s="97"/>
      <c r="N128" s="99"/>
      <c r="O128" s="94"/>
      <c r="P128" s="94"/>
      <c r="Q128" s="98"/>
      <c r="R128" s="97"/>
      <c r="S128" s="100"/>
      <c r="T128" s="101"/>
      <c r="U128" s="101"/>
      <c r="V128" s="98"/>
      <c r="W128" s="98"/>
      <c r="X128" s="100"/>
      <c r="Y128" s="101"/>
      <c r="Z128" s="101"/>
      <c r="AA128" s="100"/>
      <c r="AB128" s="100"/>
      <c r="AC128" s="100"/>
      <c r="AD128" s="101"/>
      <c r="AE128" s="101"/>
      <c r="AF128" s="100"/>
      <c r="AG128" s="100"/>
      <c r="AH128" s="100"/>
      <c r="AI128" s="100"/>
      <c r="AJ128" s="102"/>
      <c r="AK128" s="103"/>
    </row>
    <row r="129" spans="1:37" ht="15.95" customHeight="1" x14ac:dyDescent="0.25">
      <c r="A129" s="90"/>
      <c r="B129" s="91"/>
      <c r="C129" s="92"/>
      <c r="D129" s="108"/>
      <c r="E129" s="104"/>
      <c r="F129" s="104"/>
      <c r="G129" s="111"/>
      <c r="H129" s="112"/>
      <c r="I129" s="106"/>
      <c r="J129" s="94"/>
      <c r="K129" s="94"/>
      <c r="L129" s="98"/>
      <c r="M129" s="97"/>
      <c r="N129" s="99"/>
      <c r="O129" s="104"/>
      <c r="P129" s="104"/>
      <c r="Q129" s="105"/>
      <c r="R129" s="106"/>
      <c r="S129" s="109"/>
      <c r="T129" s="101"/>
      <c r="U129" s="101"/>
      <c r="V129" s="98"/>
      <c r="W129" s="98"/>
      <c r="X129" s="100"/>
      <c r="Y129" s="101"/>
      <c r="Z129" s="101"/>
      <c r="AA129" s="100"/>
      <c r="AB129" s="100"/>
      <c r="AC129" s="100"/>
      <c r="AD129" s="101"/>
      <c r="AE129" s="101"/>
      <c r="AF129" s="100"/>
      <c r="AG129" s="100"/>
      <c r="AH129" s="100"/>
      <c r="AI129" s="100"/>
      <c r="AJ129" s="102"/>
      <c r="AK129" s="103"/>
    </row>
    <row r="130" spans="1:37" ht="15.95" customHeight="1" x14ac:dyDescent="0.25">
      <c r="A130" s="90"/>
      <c r="B130" s="91"/>
      <c r="C130" s="92"/>
      <c r="D130" s="108"/>
      <c r="E130" s="94"/>
      <c r="F130" s="94"/>
      <c r="G130" s="95"/>
      <c r="H130" s="96"/>
      <c r="I130" s="97"/>
      <c r="J130" s="94"/>
      <c r="K130" s="94"/>
      <c r="L130" s="98"/>
      <c r="M130" s="97"/>
      <c r="N130" s="99"/>
      <c r="O130" s="94"/>
      <c r="P130" s="94"/>
      <c r="Q130" s="98"/>
      <c r="R130" s="97"/>
      <c r="S130" s="100"/>
      <c r="T130" s="101"/>
      <c r="U130" s="101"/>
      <c r="V130" s="98"/>
      <c r="W130" s="98"/>
      <c r="X130" s="100"/>
      <c r="Y130" s="101"/>
      <c r="Z130" s="101"/>
      <c r="AA130" s="100"/>
      <c r="AB130" s="100"/>
      <c r="AC130" s="100"/>
      <c r="AD130" s="101"/>
      <c r="AE130" s="101"/>
      <c r="AF130" s="100"/>
      <c r="AG130" s="100"/>
      <c r="AH130" s="100"/>
      <c r="AI130" s="100"/>
      <c r="AJ130" s="102"/>
      <c r="AK130" s="103"/>
    </row>
    <row r="131" spans="1:37" ht="15.95" customHeight="1" x14ac:dyDescent="0.25">
      <c r="A131" s="90"/>
      <c r="B131" s="91"/>
      <c r="C131" s="92"/>
      <c r="D131" s="108"/>
      <c r="E131" s="94"/>
      <c r="F131" s="94"/>
      <c r="G131" s="95"/>
      <c r="H131" s="96"/>
      <c r="I131" s="97"/>
      <c r="J131" s="94"/>
      <c r="K131" s="94"/>
      <c r="L131" s="98"/>
      <c r="M131" s="97"/>
      <c r="N131" s="99"/>
      <c r="O131" s="94"/>
      <c r="P131" s="94"/>
      <c r="Q131" s="98"/>
      <c r="R131" s="97"/>
      <c r="S131" s="100"/>
      <c r="T131" s="101"/>
      <c r="U131" s="101"/>
      <c r="V131" s="98"/>
      <c r="W131" s="98"/>
      <c r="X131" s="100"/>
      <c r="Y131" s="101"/>
      <c r="Z131" s="101"/>
      <c r="AA131" s="100"/>
      <c r="AB131" s="100"/>
      <c r="AC131" s="100"/>
      <c r="AD131" s="101"/>
      <c r="AE131" s="101"/>
      <c r="AF131" s="100"/>
      <c r="AG131" s="100"/>
      <c r="AH131" s="100"/>
      <c r="AI131" s="100"/>
      <c r="AJ131" s="102"/>
      <c r="AK131" s="103"/>
    </row>
    <row r="132" spans="1:37" ht="15.95" customHeight="1" x14ac:dyDescent="0.25">
      <c r="A132" s="90"/>
      <c r="B132" s="91"/>
      <c r="C132" s="92"/>
      <c r="D132" s="108"/>
      <c r="E132" s="94"/>
      <c r="F132" s="94"/>
      <c r="G132" s="95"/>
      <c r="H132" s="96"/>
      <c r="I132" s="97"/>
      <c r="J132" s="94"/>
      <c r="K132" s="94"/>
      <c r="L132" s="98"/>
      <c r="M132" s="97"/>
      <c r="N132" s="99"/>
      <c r="O132" s="104"/>
      <c r="P132" s="104"/>
      <c r="Q132" s="105"/>
      <c r="R132" s="106"/>
      <c r="S132" s="109"/>
      <c r="T132" s="101"/>
      <c r="U132" s="101"/>
      <c r="V132" s="98"/>
      <c r="W132" s="98"/>
      <c r="X132" s="100"/>
      <c r="Y132" s="101"/>
      <c r="Z132" s="101"/>
      <c r="AA132" s="100"/>
      <c r="AB132" s="100"/>
      <c r="AC132" s="100"/>
      <c r="AD132" s="101"/>
      <c r="AE132" s="101"/>
      <c r="AF132" s="100"/>
      <c r="AG132" s="100"/>
      <c r="AH132" s="100"/>
      <c r="AI132" s="100"/>
      <c r="AJ132" s="102"/>
      <c r="AK132" s="103"/>
    </row>
    <row r="133" spans="1:37" ht="15.95" customHeight="1" x14ac:dyDescent="0.25">
      <c r="A133" s="90"/>
      <c r="B133" s="91"/>
      <c r="C133" s="92"/>
      <c r="D133" s="108"/>
      <c r="E133" s="94"/>
      <c r="F133" s="94"/>
      <c r="G133" s="95"/>
      <c r="H133" s="96"/>
      <c r="I133" s="97"/>
      <c r="J133" s="94"/>
      <c r="K133" s="94"/>
      <c r="L133" s="98"/>
      <c r="M133" s="97"/>
      <c r="N133" s="99"/>
      <c r="O133" s="104"/>
      <c r="P133" s="104"/>
      <c r="Q133" s="105"/>
      <c r="R133" s="106"/>
      <c r="S133" s="109"/>
      <c r="T133" s="101"/>
      <c r="U133" s="101"/>
      <c r="V133" s="98"/>
      <c r="W133" s="98"/>
      <c r="X133" s="100"/>
      <c r="Y133" s="101"/>
      <c r="Z133" s="101"/>
      <c r="AA133" s="100"/>
      <c r="AB133" s="100"/>
      <c r="AC133" s="100"/>
      <c r="AD133" s="101"/>
      <c r="AE133" s="101"/>
      <c r="AF133" s="100"/>
      <c r="AG133" s="100"/>
      <c r="AH133" s="100"/>
      <c r="AI133" s="100"/>
      <c r="AJ133" s="102"/>
      <c r="AK133" s="103"/>
    </row>
    <row r="134" spans="1:37" ht="15.95" customHeight="1" x14ac:dyDescent="0.25">
      <c r="A134" s="90"/>
      <c r="B134" s="91"/>
      <c r="C134" s="92"/>
      <c r="D134" s="108"/>
      <c r="E134" s="94"/>
      <c r="F134" s="94"/>
      <c r="G134" s="95"/>
      <c r="H134" s="96"/>
      <c r="I134" s="97"/>
      <c r="J134" s="94"/>
      <c r="K134" s="94"/>
      <c r="L134" s="98"/>
      <c r="M134" s="97"/>
      <c r="N134" s="99"/>
      <c r="O134" s="94"/>
      <c r="P134" s="94"/>
      <c r="Q134" s="98"/>
      <c r="R134" s="97"/>
      <c r="S134" s="100"/>
      <c r="T134" s="101"/>
      <c r="U134" s="101"/>
      <c r="V134" s="98"/>
      <c r="W134" s="98"/>
      <c r="X134" s="100"/>
      <c r="Y134" s="101"/>
      <c r="Z134" s="101"/>
      <c r="AA134" s="100"/>
      <c r="AB134" s="100"/>
      <c r="AC134" s="100"/>
      <c r="AD134" s="101"/>
      <c r="AE134" s="101"/>
      <c r="AF134" s="100"/>
      <c r="AG134" s="100"/>
      <c r="AH134" s="100"/>
      <c r="AI134" s="100"/>
      <c r="AJ134" s="102"/>
      <c r="AK134" s="103"/>
    </row>
    <row r="135" spans="1:37" ht="15.95" customHeight="1" x14ac:dyDescent="0.25">
      <c r="A135" s="90"/>
      <c r="B135" s="91"/>
      <c r="C135" s="92"/>
      <c r="D135" s="108"/>
      <c r="E135" s="94"/>
      <c r="F135" s="94"/>
      <c r="G135" s="95"/>
      <c r="H135" s="96"/>
      <c r="I135" s="97"/>
      <c r="J135" s="94"/>
      <c r="K135" s="94"/>
      <c r="L135" s="98"/>
      <c r="M135" s="97"/>
      <c r="N135" s="99"/>
      <c r="O135" s="94"/>
      <c r="P135" s="94"/>
      <c r="Q135" s="98"/>
      <c r="R135" s="97"/>
      <c r="S135" s="100"/>
      <c r="T135" s="101"/>
      <c r="U135" s="101"/>
      <c r="V135" s="98"/>
      <c r="W135" s="98"/>
      <c r="X135" s="100"/>
      <c r="Y135" s="101"/>
      <c r="Z135" s="101"/>
      <c r="AA135" s="100"/>
      <c r="AB135" s="100"/>
      <c r="AC135" s="100"/>
      <c r="AD135" s="101"/>
      <c r="AE135" s="101"/>
      <c r="AF135" s="100"/>
      <c r="AG135" s="100"/>
      <c r="AH135" s="100"/>
      <c r="AI135" s="100"/>
      <c r="AJ135" s="102"/>
      <c r="AK135" s="103"/>
    </row>
    <row r="136" spans="1:37" ht="15.95" customHeight="1" x14ac:dyDescent="0.25">
      <c r="A136" s="90"/>
      <c r="B136" s="91"/>
      <c r="C136" s="92"/>
      <c r="D136" s="108"/>
      <c r="E136" s="94"/>
      <c r="F136" s="94"/>
      <c r="G136" s="95"/>
      <c r="H136" s="96"/>
      <c r="I136" s="97"/>
      <c r="J136" s="94"/>
      <c r="K136" s="94"/>
      <c r="L136" s="98"/>
      <c r="M136" s="97"/>
      <c r="N136" s="99"/>
      <c r="O136" s="94"/>
      <c r="P136" s="94"/>
      <c r="Q136" s="98"/>
      <c r="R136" s="97"/>
      <c r="S136" s="100"/>
      <c r="T136" s="101"/>
      <c r="U136" s="101"/>
      <c r="V136" s="98"/>
      <c r="W136" s="98"/>
      <c r="X136" s="100"/>
      <c r="Y136" s="101"/>
      <c r="Z136" s="101"/>
      <c r="AA136" s="100"/>
      <c r="AB136" s="100"/>
      <c r="AC136" s="100"/>
      <c r="AD136" s="101"/>
      <c r="AE136" s="101"/>
      <c r="AF136" s="100"/>
      <c r="AG136" s="100"/>
      <c r="AH136" s="100"/>
      <c r="AI136" s="100"/>
      <c r="AJ136" s="102"/>
      <c r="AK136" s="103"/>
    </row>
    <row r="137" spans="1:37" ht="15.95" customHeight="1" x14ac:dyDescent="0.25">
      <c r="A137" s="90"/>
      <c r="B137" s="91"/>
      <c r="C137" s="92"/>
      <c r="D137" s="108"/>
      <c r="E137" s="94"/>
      <c r="F137" s="94"/>
      <c r="G137" s="95"/>
      <c r="H137" s="96"/>
      <c r="I137" s="97"/>
      <c r="J137" s="94"/>
      <c r="K137" s="94"/>
      <c r="L137" s="98"/>
      <c r="M137" s="97"/>
      <c r="N137" s="99"/>
      <c r="O137" s="94"/>
      <c r="P137" s="94"/>
      <c r="Q137" s="98"/>
      <c r="R137" s="97"/>
      <c r="S137" s="100"/>
      <c r="T137" s="101"/>
      <c r="U137" s="101"/>
      <c r="V137" s="98"/>
      <c r="W137" s="98"/>
      <c r="X137" s="100"/>
      <c r="Y137" s="101"/>
      <c r="Z137" s="101"/>
      <c r="AA137" s="100"/>
      <c r="AB137" s="100"/>
      <c r="AC137" s="100"/>
      <c r="AD137" s="101"/>
      <c r="AE137" s="101"/>
      <c r="AF137" s="100"/>
      <c r="AG137" s="100"/>
      <c r="AH137" s="100"/>
      <c r="AI137" s="100"/>
      <c r="AJ137" s="102"/>
      <c r="AK137" s="103"/>
    </row>
    <row r="138" spans="1:37" ht="15.95" customHeight="1" x14ac:dyDescent="0.25">
      <c r="A138" s="90"/>
      <c r="B138" s="91"/>
      <c r="C138" s="92"/>
      <c r="D138" s="108"/>
      <c r="E138" s="94"/>
      <c r="F138" s="94"/>
      <c r="G138" s="95"/>
      <c r="H138" s="96"/>
      <c r="I138" s="97"/>
      <c r="J138" s="94"/>
      <c r="K138" s="94"/>
      <c r="L138" s="98"/>
      <c r="M138" s="97"/>
      <c r="N138" s="99"/>
      <c r="O138" s="94"/>
      <c r="P138" s="94"/>
      <c r="Q138" s="98"/>
      <c r="R138" s="97"/>
      <c r="S138" s="100"/>
      <c r="T138" s="101"/>
      <c r="U138" s="101"/>
      <c r="V138" s="98"/>
      <c r="W138" s="98"/>
      <c r="X138" s="100"/>
      <c r="Y138" s="101"/>
      <c r="Z138" s="101"/>
      <c r="AA138" s="100"/>
      <c r="AB138" s="100"/>
      <c r="AC138" s="100"/>
      <c r="AD138" s="101"/>
      <c r="AE138" s="101"/>
      <c r="AF138" s="100"/>
      <c r="AG138" s="100"/>
      <c r="AH138" s="100"/>
      <c r="AI138" s="100"/>
      <c r="AJ138" s="102"/>
      <c r="AK138" s="103"/>
    </row>
    <row r="139" spans="1:37" ht="15.95" customHeight="1" x14ac:dyDescent="0.25">
      <c r="H139" s="89" t="e">
        <f t="shared" ref="H139" si="65">AVERAGE(G139)</f>
        <v>#DIV/0!</v>
      </c>
    </row>
  </sheetData>
  <autoFilter ref="A10:AT108">
    <filterColumn colId="2">
      <filters>
        <filter val="M"/>
      </filters>
    </filterColumn>
    <filterColumn colId="33">
      <filters>
        <filter val="FCD"/>
      </filters>
    </filterColumn>
  </autoFilter>
  <mergeCells count="14">
    <mergeCell ref="AJ8:AJ10"/>
    <mergeCell ref="AK8:AK10"/>
    <mergeCell ref="A1:J1"/>
    <mergeCell ref="A2:J2"/>
    <mergeCell ref="A3:J3"/>
    <mergeCell ref="A5:D5"/>
    <mergeCell ref="E5:F5"/>
    <mergeCell ref="G5:M5"/>
    <mergeCell ref="E8:I9"/>
    <mergeCell ref="J8:N9"/>
    <mergeCell ref="O8:S9"/>
    <mergeCell ref="T8:X9"/>
    <mergeCell ref="Y8:AC9"/>
    <mergeCell ref="AD8:AH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B8" sqref="B8"/>
    </sheetView>
  </sheetViews>
  <sheetFormatPr defaultRowHeight="15" x14ac:dyDescent="0.25"/>
  <cols>
    <col min="2" max="2" width="28.140625" customWidth="1"/>
    <col min="4" max="4" width="20.42578125" customWidth="1"/>
  </cols>
  <sheetData>
    <row r="1" spans="1:11" ht="51.75" x14ac:dyDescent="0.25">
      <c r="A1" s="138">
        <v>2</v>
      </c>
      <c r="B1" s="139" t="s">
        <v>52</v>
      </c>
      <c r="C1" s="140" t="s">
        <v>15</v>
      </c>
      <c r="D1" s="141" t="s">
        <v>150</v>
      </c>
      <c r="E1" s="257">
        <v>607</v>
      </c>
      <c r="F1" s="261">
        <v>86.714285714285708</v>
      </c>
      <c r="G1" s="263" t="s">
        <v>340</v>
      </c>
    </row>
    <row r="2" spans="1:11" ht="15.75" x14ac:dyDescent="0.25">
      <c r="A2" s="150">
        <v>1</v>
      </c>
      <c r="B2" s="151" t="s">
        <v>94</v>
      </c>
      <c r="C2" s="152" t="s">
        <v>13</v>
      </c>
      <c r="D2" s="153" t="s">
        <v>192</v>
      </c>
      <c r="E2" s="257">
        <v>612</v>
      </c>
      <c r="F2" s="261">
        <v>87.428571428571431</v>
      </c>
      <c r="G2" s="264" t="s">
        <v>340</v>
      </c>
      <c r="I2" s="257">
        <v>637</v>
      </c>
      <c r="J2" s="272">
        <v>91</v>
      </c>
      <c r="K2" s="273" t="s">
        <v>340</v>
      </c>
    </row>
    <row r="3" spans="1:11" ht="15.75" x14ac:dyDescent="0.25">
      <c r="A3" s="170">
        <v>3</v>
      </c>
      <c r="B3" s="171" t="s">
        <v>108</v>
      </c>
      <c r="C3" s="172" t="s">
        <v>13</v>
      </c>
      <c r="D3" s="173" t="s">
        <v>206</v>
      </c>
      <c r="E3" s="257">
        <v>608</v>
      </c>
      <c r="F3" s="261">
        <v>86.857142857142861</v>
      </c>
      <c r="G3" s="267" t="s">
        <v>340</v>
      </c>
      <c r="I3" s="257">
        <v>635</v>
      </c>
      <c r="J3" s="274">
        <v>90.714285714285708</v>
      </c>
      <c r="K3" s="267" t="s">
        <v>340</v>
      </c>
    </row>
    <row r="4" spans="1:11" ht="15.75" x14ac:dyDescent="0.25">
      <c r="I4" s="257">
        <v>646</v>
      </c>
      <c r="J4" s="271">
        <v>92.285714285714292</v>
      </c>
      <c r="K4" s="263" t="s">
        <v>340</v>
      </c>
    </row>
    <row r="6" spans="1:11" ht="15.75" x14ac:dyDescent="0.25">
      <c r="A6" s="150">
        <v>1</v>
      </c>
      <c r="B6" s="151" t="s">
        <v>94</v>
      </c>
      <c r="C6" s="152" t="s">
        <v>13</v>
      </c>
      <c r="D6" s="153" t="s">
        <v>192</v>
      </c>
      <c r="E6" s="257">
        <v>612</v>
      </c>
      <c r="F6" s="261">
        <v>87.428571428571431</v>
      </c>
      <c r="G6" s="264" t="s">
        <v>340</v>
      </c>
    </row>
    <row r="7" spans="1:11" ht="15.75" x14ac:dyDescent="0.25">
      <c r="A7" s="138">
        <v>2</v>
      </c>
      <c r="B7" s="171" t="s">
        <v>108</v>
      </c>
      <c r="C7" s="172" t="s">
        <v>13</v>
      </c>
      <c r="D7" s="173" t="s">
        <v>206</v>
      </c>
      <c r="E7" s="257">
        <v>608</v>
      </c>
      <c r="F7" s="261">
        <v>86.857142857142861</v>
      </c>
      <c r="G7" s="267" t="s">
        <v>340</v>
      </c>
    </row>
    <row r="8" spans="1:11" ht="15.75" x14ac:dyDescent="0.25">
      <c r="A8" s="170">
        <v>3</v>
      </c>
      <c r="B8" s="139" t="s">
        <v>52</v>
      </c>
      <c r="C8" s="140" t="s">
        <v>15</v>
      </c>
      <c r="D8" s="141" t="s">
        <v>150</v>
      </c>
      <c r="E8" s="257">
        <v>607</v>
      </c>
      <c r="F8" s="261">
        <v>86.714285714285708</v>
      </c>
      <c r="G8" s="263" t="s">
        <v>340</v>
      </c>
    </row>
    <row r="11" spans="1:11" ht="26.25" x14ac:dyDescent="0.25">
      <c r="A11" s="138">
        <v>1</v>
      </c>
      <c r="B11" s="139" t="s">
        <v>271</v>
      </c>
      <c r="C11" s="190" t="s">
        <v>15</v>
      </c>
      <c r="D11" s="141" t="s">
        <v>304</v>
      </c>
      <c r="E11" s="257">
        <v>646</v>
      </c>
      <c r="F11" s="271">
        <v>92.285714285714292</v>
      </c>
      <c r="G11" s="263" t="s">
        <v>340</v>
      </c>
    </row>
    <row r="12" spans="1:11" ht="15.75" x14ac:dyDescent="0.25">
      <c r="A12" s="161">
        <v>2</v>
      </c>
      <c r="B12" s="162" t="s">
        <v>254</v>
      </c>
      <c r="C12" s="191" t="s">
        <v>15</v>
      </c>
      <c r="D12" s="192" t="s">
        <v>287</v>
      </c>
      <c r="E12" s="257">
        <v>637</v>
      </c>
      <c r="F12" s="272">
        <v>91</v>
      </c>
      <c r="G12" s="273" t="s">
        <v>340</v>
      </c>
    </row>
    <row r="13" spans="1:11" ht="15.75" x14ac:dyDescent="0.25">
      <c r="A13" s="170">
        <v>3</v>
      </c>
      <c r="B13" s="171" t="s">
        <v>261</v>
      </c>
      <c r="C13" s="193" t="s">
        <v>13</v>
      </c>
      <c r="D13" s="173" t="s">
        <v>294</v>
      </c>
      <c r="E13" s="257">
        <v>635</v>
      </c>
      <c r="F13" s="274">
        <v>90.714285714285708</v>
      </c>
      <c r="G13" s="267" t="s">
        <v>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2"/>
  <sheetViews>
    <sheetView topLeftCell="D13" zoomScale="60" zoomScaleNormal="60" workbookViewId="0">
      <selection activeCell="A11" sqref="A11:AK42"/>
    </sheetView>
  </sheetViews>
  <sheetFormatPr defaultRowHeight="15" x14ac:dyDescent="0.25"/>
  <cols>
    <col min="2" max="2" width="31.140625" customWidth="1"/>
    <col min="3" max="3" width="10.28515625" customWidth="1"/>
    <col min="4" max="4" width="13.7109375" customWidth="1"/>
    <col min="5" max="7" width="8.140625" customWidth="1"/>
    <col min="8" max="8" width="7.7109375" customWidth="1"/>
    <col min="9" max="9" width="8.7109375" customWidth="1"/>
    <col min="10" max="10" width="7.7109375" customWidth="1"/>
    <col min="11" max="11" width="8" customWidth="1"/>
    <col min="12" max="12" width="8.140625" customWidth="1"/>
    <col min="13" max="13" width="7.42578125" customWidth="1"/>
    <col min="14" max="14" width="7" customWidth="1"/>
    <col min="15" max="15" width="8" customWidth="1"/>
    <col min="16" max="16" width="8.140625" customWidth="1"/>
    <col min="17" max="17" width="8" customWidth="1"/>
    <col min="18" max="18" width="8.42578125" customWidth="1"/>
    <col min="19" max="19" width="8" customWidth="1"/>
    <col min="20" max="20" width="8.7109375" customWidth="1"/>
    <col min="21" max="21" width="8.140625" customWidth="1"/>
    <col min="22" max="22" width="8.42578125" customWidth="1"/>
    <col min="23" max="23" width="7.7109375" customWidth="1"/>
    <col min="24" max="24" width="8.7109375" customWidth="1"/>
    <col min="25" max="25" width="8.140625" customWidth="1"/>
    <col min="26" max="26" width="8.42578125" customWidth="1"/>
    <col min="27" max="27" width="8.140625" customWidth="1"/>
    <col min="30" max="30" width="8.42578125" customWidth="1"/>
    <col min="31" max="31" width="8" customWidth="1"/>
  </cols>
  <sheetData>
    <row r="1" spans="1:37" ht="16.5" x14ac:dyDescent="0.25">
      <c r="A1" s="225" t="s">
        <v>0</v>
      </c>
      <c r="B1" s="226"/>
      <c r="C1" s="226"/>
      <c r="D1" s="226"/>
      <c r="E1" s="226"/>
      <c r="F1" s="226"/>
      <c r="G1" s="226"/>
      <c r="H1" s="226"/>
      <c r="I1" s="226"/>
      <c r="J1" s="226"/>
      <c r="K1" s="8"/>
      <c r="L1" s="8"/>
      <c r="M1" s="5"/>
      <c r="N1" s="5"/>
      <c r="O1" s="8"/>
      <c r="P1" s="8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ht="16.5" x14ac:dyDescent="0.25">
      <c r="A2" s="227" t="s">
        <v>1</v>
      </c>
      <c r="B2" s="228"/>
      <c r="C2" s="228"/>
      <c r="D2" s="228"/>
      <c r="E2" s="228"/>
      <c r="F2" s="228"/>
      <c r="G2" s="228"/>
      <c r="H2" s="228"/>
      <c r="I2" s="228"/>
      <c r="J2" s="228"/>
      <c r="K2" s="14"/>
      <c r="L2" s="9"/>
      <c r="M2" s="9"/>
      <c r="N2" s="9"/>
      <c r="O2" s="14"/>
      <c r="P2" s="14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ht="16.5" x14ac:dyDescent="0.25">
      <c r="A3" s="229" t="s">
        <v>50</v>
      </c>
      <c r="B3" s="230"/>
      <c r="C3" s="230"/>
      <c r="D3" s="230"/>
      <c r="E3" s="230"/>
      <c r="F3" s="230"/>
      <c r="G3" s="230"/>
      <c r="H3" s="230"/>
      <c r="I3" s="230"/>
      <c r="J3" s="230"/>
      <c r="K3" s="14"/>
      <c r="L3" s="9"/>
      <c r="M3" s="9"/>
      <c r="N3" s="9"/>
      <c r="O3" s="14"/>
      <c r="P3" s="14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ht="16.5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4"/>
      <c r="L4" s="9"/>
      <c r="M4" s="9"/>
      <c r="N4" s="9"/>
      <c r="O4" s="14"/>
      <c r="P4" s="14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ht="15.75" x14ac:dyDescent="0.25">
      <c r="A5" s="231" t="s">
        <v>49</v>
      </c>
      <c r="B5" s="232"/>
      <c r="C5" s="232"/>
      <c r="D5" s="232"/>
      <c r="E5" s="233" t="s">
        <v>2</v>
      </c>
      <c r="F5" s="233"/>
      <c r="G5" s="234"/>
      <c r="H5" s="234"/>
      <c r="I5" s="234"/>
      <c r="J5" s="234"/>
      <c r="K5" s="234"/>
      <c r="L5" s="234"/>
      <c r="M5" s="234"/>
      <c r="N5" s="9"/>
      <c r="O5" s="14"/>
      <c r="P5" s="14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 spans="1:37" ht="15.75" x14ac:dyDescent="0.25">
      <c r="A6" s="116"/>
      <c r="B6" s="117"/>
      <c r="C6" s="117"/>
      <c r="D6" s="117"/>
      <c r="E6" s="15"/>
      <c r="F6" s="14"/>
      <c r="G6" s="9"/>
      <c r="H6" s="9"/>
      <c r="I6" s="9"/>
      <c r="J6" s="14"/>
      <c r="K6" s="14"/>
      <c r="L6" s="9"/>
      <c r="M6" s="9"/>
      <c r="N6" s="9"/>
      <c r="O6" s="14"/>
      <c r="P6" s="14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</row>
    <row r="7" spans="1:37" ht="15.75" x14ac:dyDescent="0.25">
      <c r="A7" s="116"/>
      <c r="B7" s="117"/>
      <c r="C7" s="117"/>
      <c r="D7" s="117"/>
      <c r="E7" s="15"/>
      <c r="F7" s="14"/>
      <c r="G7" s="9"/>
      <c r="H7" s="9"/>
      <c r="I7" s="9"/>
      <c r="J7" s="14"/>
      <c r="K7" s="14"/>
      <c r="L7" s="9"/>
      <c r="M7" s="9"/>
      <c r="N7" s="9"/>
      <c r="O7" s="14"/>
      <c r="P7" s="14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ht="37.5" x14ac:dyDescent="0.25">
      <c r="A8" s="45" t="s">
        <v>3</v>
      </c>
      <c r="B8" s="45" t="s">
        <v>4</v>
      </c>
      <c r="C8" s="45" t="s">
        <v>14</v>
      </c>
      <c r="D8" s="45" t="s">
        <v>5</v>
      </c>
      <c r="E8" s="44" t="s">
        <v>247</v>
      </c>
      <c r="F8" s="44"/>
      <c r="G8" s="44"/>
      <c r="H8" s="44"/>
      <c r="I8" s="44"/>
      <c r="J8" s="44" t="s">
        <v>248</v>
      </c>
      <c r="K8" s="44"/>
      <c r="L8" s="44"/>
      <c r="M8" s="44"/>
      <c r="N8" s="44"/>
      <c r="O8" s="44" t="s">
        <v>316</v>
      </c>
      <c r="P8" s="44"/>
      <c r="Q8" s="44"/>
      <c r="R8" s="44"/>
      <c r="S8" s="44"/>
      <c r="T8" s="44" t="s">
        <v>317</v>
      </c>
      <c r="U8" s="44"/>
      <c r="V8" s="44"/>
      <c r="W8" s="44"/>
      <c r="X8" s="44"/>
      <c r="Y8" s="44" t="s">
        <v>318</v>
      </c>
      <c r="Z8" s="44"/>
      <c r="AA8" s="44"/>
      <c r="AB8" s="44"/>
      <c r="AC8" s="44"/>
      <c r="AD8" s="44" t="s">
        <v>319</v>
      </c>
      <c r="AE8" s="44"/>
      <c r="AF8" s="44"/>
      <c r="AG8" s="44"/>
      <c r="AH8" s="44"/>
      <c r="AI8" s="44"/>
      <c r="AJ8" s="223" t="s">
        <v>6</v>
      </c>
      <c r="AK8" s="224" t="s">
        <v>7</v>
      </c>
    </row>
    <row r="9" spans="1:37" ht="18.75" x14ac:dyDescent="0.25">
      <c r="A9" s="45"/>
      <c r="B9" s="45"/>
      <c r="C9" s="45"/>
      <c r="D9" s="45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223"/>
      <c r="AK9" s="224"/>
    </row>
    <row r="10" spans="1:37" ht="18.75" x14ac:dyDescent="0.25">
      <c r="A10" s="84"/>
      <c r="B10" s="84"/>
      <c r="C10" s="84"/>
      <c r="D10" s="84"/>
      <c r="E10" s="113" t="s">
        <v>8</v>
      </c>
      <c r="F10" s="113" t="s">
        <v>9</v>
      </c>
      <c r="G10" s="113" t="s">
        <v>10</v>
      </c>
      <c r="H10" s="113" t="s">
        <v>11</v>
      </c>
      <c r="I10" s="85" t="s">
        <v>12</v>
      </c>
      <c r="J10" s="113" t="s">
        <v>8</v>
      </c>
      <c r="K10" s="113" t="s">
        <v>9</v>
      </c>
      <c r="L10" s="113" t="s">
        <v>10</v>
      </c>
      <c r="M10" s="113" t="s">
        <v>11</v>
      </c>
      <c r="N10" s="85" t="s">
        <v>12</v>
      </c>
      <c r="O10" s="113" t="s">
        <v>8</v>
      </c>
      <c r="P10" s="113" t="s">
        <v>9</v>
      </c>
      <c r="Q10" s="113" t="s">
        <v>10</v>
      </c>
      <c r="R10" s="113" t="s">
        <v>11</v>
      </c>
      <c r="S10" s="113" t="s">
        <v>12</v>
      </c>
      <c r="T10" s="113" t="s">
        <v>8</v>
      </c>
      <c r="U10" s="113" t="s">
        <v>9</v>
      </c>
      <c r="V10" s="113" t="s">
        <v>10</v>
      </c>
      <c r="W10" s="113" t="s">
        <v>11</v>
      </c>
      <c r="X10" s="113" t="s">
        <v>12</v>
      </c>
      <c r="Y10" s="113" t="s">
        <v>8</v>
      </c>
      <c r="Z10" s="113" t="s">
        <v>9</v>
      </c>
      <c r="AA10" s="113" t="s">
        <v>10</v>
      </c>
      <c r="AB10" s="113" t="s">
        <v>11</v>
      </c>
      <c r="AC10" s="113" t="s">
        <v>12</v>
      </c>
      <c r="AD10" s="113" t="s">
        <v>8</v>
      </c>
      <c r="AE10" s="113" t="s">
        <v>9</v>
      </c>
      <c r="AF10" s="113" t="s">
        <v>10</v>
      </c>
      <c r="AG10" s="113" t="s">
        <v>11</v>
      </c>
      <c r="AH10" s="113" t="s">
        <v>12</v>
      </c>
      <c r="AI10" s="185"/>
      <c r="AJ10" s="235"/>
      <c r="AK10" s="236"/>
    </row>
    <row r="11" spans="1:37" ht="15.75" x14ac:dyDescent="0.25">
      <c r="A11" s="83">
        <v>68</v>
      </c>
      <c r="B11" s="86" t="s">
        <v>117</v>
      </c>
      <c r="C11" s="47" t="s">
        <v>15</v>
      </c>
      <c r="D11" s="88" t="s">
        <v>215</v>
      </c>
      <c r="E11" s="88">
        <v>43</v>
      </c>
      <c r="F11" s="88">
        <v>31</v>
      </c>
      <c r="G11" s="27">
        <f t="shared" ref="G11:G42" si="0">SUM(E11+F11)</f>
        <v>74</v>
      </c>
      <c r="H11" s="29">
        <f t="shared" ref="H11:H42" si="1">AVERAGE(G11)</f>
        <v>74</v>
      </c>
      <c r="I11" s="28" t="str">
        <f t="shared" ref="I11:I42" si="2">IF((F11&lt;18),"F",IF(AND(H11&gt;=70,H11&lt;100),"FCD",IF(AND(H11&gt;=60,H11&lt;70),"FC",IF(AND(H11&gt;=35,H11&lt;60),"SC",IF(AND(H11&gt;0,H11&gt;35),"F")))))</f>
        <v>FCD</v>
      </c>
      <c r="J11" s="88">
        <v>48</v>
      </c>
      <c r="K11" s="88">
        <v>26</v>
      </c>
      <c r="L11" s="247">
        <f t="shared" ref="L11:L42" si="3">SUM(J11+K11)</f>
        <v>74</v>
      </c>
      <c r="M11" s="28">
        <f t="shared" ref="M11:M42" si="4">AVERAGE(L11)</f>
        <v>74</v>
      </c>
      <c r="N11" s="39" t="str">
        <f t="shared" ref="N11:N42" si="5">IF((K11&lt;18),"F",IF(AND(M11&gt;=70,M11&lt;100),"FCD",IF(AND(M11&gt;=60,M11&lt;70),"FC",IF(AND(M11&gt;=35,M11&lt;60),"SC",IF(AND(M11&gt;0,M11&gt;35),"F")))))</f>
        <v>FCD</v>
      </c>
      <c r="O11" s="88">
        <v>44</v>
      </c>
      <c r="P11" s="88">
        <v>41</v>
      </c>
      <c r="Q11" s="247">
        <f t="shared" ref="Q11:Q42" si="6">SUM(O11+P11)</f>
        <v>85</v>
      </c>
      <c r="R11" s="28">
        <f t="shared" ref="R11:R42" si="7">AVERAGE(Q11)</f>
        <v>85</v>
      </c>
      <c r="S11" s="25" t="str">
        <f t="shared" ref="S11:S42" si="8">IF((P11&lt;18),"F",IF(AND(R11&gt;=70,R11&lt;100),"FCD",IF(AND(R11&gt;=60,R11&lt;70),"FC",IF(AND(R11&gt;=35,R11&lt;60),"SC",IF(AND(R11&gt;0,R11&gt;35),"F")))))</f>
        <v>FCD</v>
      </c>
      <c r="T11" s="88">
        <v>92</v>
      </c>
      <c r="U11" s="88">
        <v>89</v>
      </c>
      <c r="V11" s="247">
        <f t="shared" ref="V11:V42" si="9">SUM(T11+U11)</f>
        <v>181</v>
      </c>
      <c r="W11" s="30">
        <f>AVERAGE(V11/2)</f>
        <v>90.5</v>
      </c>
      <c r="X11" s="25" t="str">
        <f t="shared" ref="X11:X42" si="10">IF((U11&lt;18),"F",IF(AND(W11&gt;=70,W11&lt;100),"FCD",IF(AND(W11&gt;=60,W11&lt;70),"FC",IF(AND(W11&gt;=35,W11&lt;60),"SC",IF(AND(W11&gt;0,W11&gt;35),"F")))))</f>
        <v>FCD</v>
      </c>
      <c r="Y11" s="88">
        <v>49</v>
      </c>
      <c r="Z11" s="88">
        <v>37</v>
      </c>
      <c r="AA11" s="257">
        <f t="shared" ref="AA11:AA42" si="11">SUM(Y11+Z11)</f>
        <v>86</v>
      </c>
      <c r="AB11" s="25">
        <f t="shared" ref="AB11:AB42" si="12">AVERAGE(AA11)</f>
        <v>86</v>
      </c>
      <c r="AC11" s="25" t="str">
        <f>IF((AB11&lt;18),"F",IF(AND(AB11&gt;=70,AB11&lt;100),"FCD",IF(AND(AB11&gt;=60,AB11&lt;70),"FC",IF(AND(AB11&gt;=35,AB11&lt;60),"SC",IF(AND(AB11&gt;0,AB11&gt;35),"F")))))</f>
        <v>FCD</v>
      </c>
      <c r="AD11" s="88">
        <v>39</v>
      </c>
      <c r="AE11" s="88">
        <v>34</v>
      </c>
      <c r="AF11" s="257">
        <f t="shared" ref="AF11:AF42" si="13">SUM(AD11+AE11)</f>
        <v>73</v>
      </c>
      <c r="AG11" s="25">
        <f t="shared" ref="AG11:AG42" si="14">AVERAGE(AF11)</f>
        <v>73</v>
      </c>
      <c r="AH11" s="25" t="str">
        <f t="shared" ref="AH11:AH42" si="15">IF((AE11&lt;18),"F",IF(AND(AG11&gt;=70,AG11&lt;100),"FCD",IF(AND(AG11&gt;=60,AG11&lt;70),"FC",IF(AND(AG11&gt;=35,AG11&lt;60),"SC",IF(AND(AG11&gt;0,AG11&gt;35),"F")))))</f>
        <v>FCD</v>
      </c>
      <c r="AI11" s="257">
        <f>SUM(G11,L11,Q11,V11,AA11,AF11)</f>
        <v>573</v>
      </c>
      <c r="AJ11" s="261">
        <f>(G11+L11+Q11+V11+AA11+AF11)*100/700</f>
        <v>81.857142857142861</v>
      </c>
      <c r="AK11" s="262" t="str">
        <f t="shared" ref="AK11:AK42" si="16">IF(AND(AJ11&gt;=70,AJ11&lt;100),"FCD",IF(AND(AJ11&gt;=60,AJ11&lt;70),"FC",IF(AND(AJ11&gt;=35,AJ11&lt;60)," SC",IF(AND(AJ11&gt;0,AJ11&lt;35),"FAIL"))))</f>
        <v>FCD</v>
      </c>
    </row>
    <row r="12" spans="1:37" ht="15.75" x14ac:dyDescent="0.25">
      <c r="A12" s="83">
        <v>69</v>
      </c>
      <c r="B12" s="86" t="s">
        <v>118</v>
      </c>
      <c r="C12" s="47" t="s">
        <v>15</v>
      </c>
      <c r="D12" s="88" t="s">
        <v>216</v>
      </c>
      <c r="E12" s="88">
        <v>44</v>
      </c>
      <c r="F12" s="88">
        <v>25</v>
      </c>
      <c r="G12" s="27">
        <f t="shared" si="0"/>
        <v>69</v>
      </c>
      <c r="H12" s="29">
        <f t="shared" si="1"/>
        <v>69</v>
      </c>
      <c r="I12" s="28" t="str">
        <f t="shared" si="2"/>
        <v>FC</v>
      </c>
      <c r="J12" s="88">
        <v>49</v>
      </c>
      <c r="K12" s="88">
        <v>25</v>
      </c>
      <c r="L12" s="247">
        <f t="shared" si="3"/>
        <v>74</v>
      </c>
      <c r="M12" s="28">
        <f t="shared" si="4"/>
        <v>74</v>
      </c>
      <c r="N12" s="39" t="str">
        <f>IF((K11&lt;18),"F",IF(AND(M12&gt;=70,M12&lt;100),"FCD",IF(AND(M12&gt;=60,M12&lt;70),"FC",IF(AND(M12&gt;=35,M12&lt;60),"SC",IF(AND(M12&gt;0,M12&gt;35),"F")))))</f>
        <v>FCD</v>
      </c>
      <c r="O12" s="88">
        <v>42</v>
      </c>
      <c r="P12" s="88">
        <v>22</v>
      </c>
      <c r="Q12" s="247">
        <f t="shared" si="6"/>
        <v>64</v>
      </c>
      <c r="R12" s="28">
        <f t="shared" si="7"/>
        <v>64</v>
      </c>
      <c r="S12" s="25" t="str">
        <f t="shared" si="8"/>
        <v>FC</v>
      </c>
      <c r="T12" s="88">
        <v>92</v>
      </c>
      <c r="U12" s="88">
        <v>91</v>
      </c>
      <c r="V12" s="247">
        <f t="shared" si="9"/>
        <v>183</v>
      </c>
      <c r="W12" s="30">
        <f t="shared" ref="W12:W42" si="17">AVERAGE(V12/2)</f>
        <v>91.5</v>
      </c>
      <c r="X12" s="25" t="str">
        <f t="shared" si="10"/>
        <v>FCD</v>
      </c>
      <c r="Y12" s="88">
        <v>47</v>
      </c>
      <c r="Z12" s="88">
        <v>33</v>
      </c>
      <c r="AA12" s="257">
        <f t="shared" si="11"/>
        <v>80</v>
      </c>
      <c r="AB12" s="25">
        <f t="shared" si="12"/>
        <v>80</v>
      </c>
      <c r="AC12" s="25" t="str">
        <f t="shared" ref="AC12:AC42" si="18">IF((AB12&lt;18),"F",IF(AND(AB12&gt;=70,AB12&lt;100),"FCD",IF(AND(AB12&gt;=60,AB12&lt;70),"FC",IF(AND(AB12&gt;=35,AB12&lt;60),"SC",IF(AND(AB12&gt;0,AB12&gt;35),"F")))))</f>
        <v>FCD</v>
      </c>
      <c r="AD12" s="88">
        <v>44</v>
      </c>
      <c r="AE12" s="88">
        <v>36</v>
      </c>
      <c r="AF12" s="257">
        <f t="shared" si="13"/>
        <v>80</v>
      </c>
      <c r="AG12" s="25">
        <f t="shared" si="14"/>
        <v>80</v>
      </c>
      <c r="AH12" s="25" t="str">
        <f t="shared" si="15"/>
        <v>FCD</v>
      </c>
      <c r="AI12" s="257">
        <f t="shared" ref="AI12:AI42" si="19">SUM(G12,L12,Q12,V12,AA12,AF12)</f>
        <v>550</v>
      </c>
      <c r="AJ12" s="261">
        <f t="shared" ref="AJ12:AJ42" si="20">(G12+L12+Q12+V12+AA12+AF12)*100/700</f>
        <v>78.571428571428569</v>
      </c>
      <c r="AK12" s="262" t="str">
        <f t="shared" si="16"/>
        <v>FCD</v>
      </c>
    </row>
    <row r="13" spans="1:37" ht="15.75" x14ac:dyDescent="0.25">
      <c r="A13" s="83">
        <v>70</v>
      </c>
      <c r="B13" s="86" t="s">
        <v>119</v>
      </c>
      <c r="C13" s="47" t="s">
        <v>13</v>
      </c>
      <c r="D13" s="88" t="s">
        <v>217</v>
      </c>
      <c r="E13" s="88">
        <v>44</v>
      </c>
      <c r="F13" s="88">
        <v>22</v>
      </c>
      <c r="G13" s="27">
        <f t="shared" si="0"/>
        <v>66</v>
      </c>
      <c r="H13" s="29">
        <f t="shared" si="1"/>
        <v>66</v>
      </c>
      <c r="I13" s="28" t="str">
        <f t="shared" si="2"/>
        <v>FC</v>
      </c>
      <c r="J13" s="88">
        <v>50</v>
      </c>
      <c r="K13" s="88">
        <v>24</v>
      </c>
      <c r="L13" s="247">
        <f t="shared" si="3"/>
        <v>74</v>
      </c>
      <c r="M13" s="28">
        <f t="shared" si="4"/>
        <v>74</v>
      </c>
      <c r="N13" s="39" t="str">
        <f t="shared" si="5"/>
        <v>FCD</v>
      </c>
      <c r="O13" s="88">
        <v>49</v>
      </c>
      <c r="P13" s="88">
        <v>33</v>
      </c>
      <c r="Q13" s="247">
        <f t="shared" si="6"/>
        <v>82</v>
      </c>
      <c r="R13" s="28">
        <f t="shared" si="7"/>
        <v>82</v>
      </c>
      <c r="S13" s="25" t="str">
        <f t="shared" si="8"/>
        <v>FCD</v>
      </c>
      <c r="T13" s="88">
        <v>83</v>
      </c>
      <c r="U13" s="88">
        <v>88</v>
      </c>
      <c r="V13" s="247">
        <f t="shared" si="9"/>
        <v>171</v>
      </c>
      <c r="W13" s="30">
        <f t="shared" si="17"/>
        <v>85.5</v>
      </c>
      <c r="X13" s="25" t="str">
        <f t="shared" si="10"/>
        <v>FCD</v>
      </c>
      <c r="Y13" s="88">
        <v>50</v>
      </c>
      <c r="Z13" s="88">
        <v>41</v>
      </c>
      <c r="AA13" s="257">
        <f t="shared" si="11"/>
        <v>91</v>
      </c>
      <c r="AB13" s="25">
        <f t="shared" si="12"/>
        <v>91</v>
      </c>
      <c r="AC13" s="25" t="str">
        <f t="shared" si="18"/>
        <v>FCD</v>
      </c>
      <c r="AD13" s="88">
        <v>45</v>
      </c>
      <c r="AE13" s="88">
        <v>35</v>
      </c>
      <c r="AF13" s="257">
        <f t="shared" si="13"/>
        <v>80</v>
      </c>
      <c r="AG13" s="25">
        <f t="shared" si="14"/>
        <v>80</v>
      </c>
      <c r="AH13" s="25" t="str">
        <f t="shared" si="15"/>
        <v>FCD</v>
      </c>
      <c r="AI13" s="257">
        <f t="shared" si="19"/>
        <v>564</v>
      </c>
      <c r="AJ13" s="261">
        <f t="shared" si="20"/>
        <v>80.571428571428569</v>
      </c>
      <c r="AK13" s="262" t="str">
        <f t="shared" si="16"/>
        <v>FCD</v>
      </c>
    </row>
    <row r="14" spans="1:37" ht="15.75" x14ac:dyDescent="0.25">
      <c r="A14" s="138">
        <v>71</v>
      </c>
      <c r="B14" s="139" t="s">
        <v>120</v>
      </c>
      <c r="C14" s="140" t="s">
        <v>13</v>
      </c>
      <c r="D14" s="146" t="s">
        <v>218</v>
      </c>
      <c r="E14" s="146">
        <v>45</v>
      </c>
      <c r="F14" s="146">
        <v>30</v>
      </c>
      <c r="G14" s="143">
        <f t="shared" si="0"/>
        <v>75</v>
      </c>
      <c r="H14" s="144">
        <f t="shared" si="1"/>
        <v>75</v>
      </c>
      <c r="I14" s="145" t="str">
        <f t="shared" si="2"/>
        <v>FCD</v>
      </c>
      <c r="J14" s="146">
        <v>50</v>
      </c>
      <c r="K14" s="146">
        <v>35</v>
      </c>
      <c r="L14" s="248">
        <f t="shared" si="3"/>
        <v>85</v>
      </c>
      <c r="M14" s="145">
        <f t="shared" si="4"/>
        <v>85</v>
      </c>
      <c r="N14" s="147" t="str">
        <f t="shared" si="5"/>
        <v>FCD</v>
      </c>
      <c r="O14" s="146">
        <v>44</v>
      </c>
      <c r="P14" s="146">
        <v>41</v>
      </c>
      <c r="Q14" s="248">
        <f t="shared" si="6"/>
        <v>85</v>
      </c>
      <c r="R14" s="145">
        <f t="shared" si="7"/>
        <v>85</v>
      </c>
      <c r="S14" s="149" t="str">
        <f t="shared" si="8"/>
        <v>FCD</v>
      </c>
      <c r="T14" s="146">
        <v>94</v>
      </c>
      <c r="U14" s="146">
        <v>92</v>
      </c>
      <c r="V14" s="248">
        <f t="shared" si="9"/>
        <v>186</v>
      </c>
      <c r="W14" s="148">
        <f t="shared" si="17"/>
        <v>93</v>
      </c>
      <c r="X14" s="149" t="str">
        <f t="shared" si="10"/>
        <v>FCD</v>
      </c>
      <c r="Y14" s="146">
        <v>50</v>
      </c>
      <c r="Z14" s="146">
        <v>34</v>
      </c>
      <c r="AA14" s="258">
        <f t="shared" si="11"/>
        <v>84</v>
      </c>
      <c r="AB14" s="149">
        <f t="shared" si="12"/>
        <v>84</v>
      </c>
      <c r="AC14" s="149" t="str">
        <f t="shared" si="18"/>
        <v>FCD</v>
      </c>
      <c r="AD14" s="146">
        <v>45</v>
      </c>
      <c r="AE14" s="146">
        <v>31</v>
      </c>
      <c r="AF14" s="258">
        <f t="shared" si="13"/>
        <v>76</v>
      </c>
      <c r="AG14" s="149">
        <f t="shared" si="14"/>
        <v>76</v>
      </c>
      <c r="AH14" s="149" t="str">
        <f t="shared" si="15"/>
        <v>FCD</v>
      </c>
      <c r="AI14" s="257">
        <f t="shared" si="19"/>
        <v>591</v>
      </c>
      <c r="AJ14" s="271">
        <f t="shared" si="20"/>
        <v>84.428571428571431</v>
      </c>
      <c r="AK14" s="263" t="str">
        <f t="shared" si="16"/>
        <v>FCD</v>
      </c>
    </row>
    <row r="15" spans="1:37" ht="15.75" x14ac:dyDescent="0.25">
      <c r="A15" s="83">
        <v>72</v>
      </c>
      <c r="B15" s="86" t="s">
        <v>121</v>
      </c>
      <c r="C15" s="47" t="s">
        <v>15</v>
      </c>
      <c r="D15" s="88" t="s">
        <v>219</v>
      </c>
      <c r="E15" s="88">
        <v>42</v>
      </c>
      <c r="F15" s="88">
        <v>26</v>
      </c>
      <c r="G15" s="27">
        <f t="shared" si="0"/>
        <v>68</v>
      </c>
      <c r="H15" s="29">
        <f t="shared" si="1"/>
        <v>68</v>
      </c>
      <c r="I15" s="28" t="str">
        <f t="shared" si="2"/>
        <v>FC</v>
      </c>
      <c r="J15" s="136">
        <v>49</v>
      </c>
      <c r="K15" s="136">
        <v>14</v>
      </c>
      <c r="L15" s="250">
        <f t="shared" si="3"/>
        <v>63</v>
      </c>
      <c r="M15" s="31">
        <f t="shared" si="4"/>
        <v>63</v>
      </c>
      <c r="N15" s="40" t="str">
        <f t="shared" si="5"/>
        <v>F</v>
      </c>
      <c r="O15" s="88">
        <v>50</v>
      </c>
      <c r="P15" s="88">
        <v>24</v>
      </c>
      <c r="Q15" s="247">
        <f t="shared" si="6"/>
        <v>74</v>
      </c>
      <c r="R15" s="28">
        <f t="shared" si="7"/>
        <v>74</v>
      </c>
      <c r="S15" s="25" t="str">
        <f t="shared" si="8"/>
        <v>FCD</v>
      </c>
      <c r="T15" s="88">
        <v>84</v>
      </c>
      <c r="U15" s="88">
        <v>91</v>
      </c>
      <c r="V15" s="247">
        <f t="shared" si="9"/>
        <v>175</v>
      </c>
      <c r="W15" s="30">
        <f t="shared" si="17"/>
        <v>87.5</v>
      </c>
      <c r="X15" s="25" t="str">
        <f t="shared" si="10"/>
        <v>FCD</v>
      </c>
      <c r="Y15" s="88">
        <v>47</v>
      </c>
      <c r="Z15" s="88">
        <v>37</v>
      </c>
      <c r="AA15" s="257">
        <f t="shared" si="11"/>
        <v>84</v>
      </c>
      <c r="AB15" s="25">
        <f t="shared" si="12"/>
        <v>84</v>
      </c>
      <c r="AC15" s="25" t="str">
        <f t="shared" si="18"/>
        <v>FCD</v>
      </c>
      <c r="AD15" s="88">
        <v>44</v>
      </c>
      <c r="AE15" s="88">
        <v>30</v>
      </c>
      <c r="AF15" s="257">
        <f t="shared" si="13"/>
        <v>74</v>
      </c>
      <c r="AG15" s="25">
        <f t="shared" si="14"/>
        <v>74</v>
      </c>
      <c r="AH15" s="25" t="str">
        <f t="shared" si="15"/>
        <v>FCD</v>
      </c>
      <c r="AI15" s="257">
        <f t="shared" si="19"/>
        <v>538</v>
      </c>
      <c r="AJ15" s="261">
        <f t="shared" si="20"/>
        <v>76.857142857142861</v>
      </c>
      <c r="AK15" s="266" t="s">
        <v>322</v>
      </c>
    </row>
    <row r="16" spans="1:37" ht="15.75" x14ac:dyDescent="0.25">
      <c r="A16" s="83">
        <v>73</v>
      </c>
      <c r="B16" s="86" t="s">
        <v>122</v>
      </c>
      <c r="C16" s="47" t="s">
        <v>13</v>
      </c>
      <c r="D16" s="88" t="s">
        <v>220</v>
      </c>
      <c r="E16" s="88">
        <v>45</v>
      </c>
      <c r="F16" s="88">
        <v>25</v>
      </c>
      <c r="G16" s="27">
        <f t="shared" si="0"/>
        <v>70</v>
      </c>
      <c r="H16" s="29">
        <f t="shared" si="1"/>
        <v>70</v>
      </c>
      <c r="I16" s="28" t="str">
        <f t="shared" si="2"/>
        <v>FCD</v>
      </c>
      <c r="J16" s="88">
        <v>50</v>
      </c>
      <c r="K16" s="88">
        <v>26</v>
      </c>
      <c r="L16" s="247">
        <f t="shared" si="3"/>
        <v>76</v>
      </c>
      <c r="M16" s="28">
        <f t="shared" si="4"/>
        <v>76</v>
      </c>
      <c r="N16" s="39" t="str">
        <f t="shared" si="5"/>
        <v>FCD</v>
      </c>
      <c r="O16" s="88">
        <v>45</v>
      </c>
      <c r="P16" s="88">
        <v>20</v>
      </c>
      <c r="Q16" s="247">
        <f t="shared" si="6"/>
        <v>65</v>
      </c>
      <c r="R16" s="28">
        <f t="shared" si="7"/>
        <v>65</v>
      </c>
      <c r="S16" s="25" t="str">
        <f t="shared" si="8"/>
        <v>FC</v>
      </c>
      <c r="T16" s="88">
        <v>92</v>
      </c>
      <c r="U16" s="88">
        <v>90</v>
      </c>
      <c r="V16" s="247">
        <f t="shared" si="9"/>
        <v>182</v>
      </c>
      <c r="W16" s="30">
        <f t="shared" si="17"/>
        <v>91</v>
      </c>
      <c r="X16" s="25" t="str">
        <f t="shared" si="10"/>
        <v>FCD</v>
      </c>
      <c r="Y16" s="88">
        <v>49</v>
      </c>
      <c r="Z16" s="88">
        <v>34</v>
      </c>
      <c r="AA16" s="257">
        <f t="shared" si="11"/>
        <v>83</v>
      </c>
      <c r="AB16" s="25">
        <f t="shared" si="12"/>
        <v>83</v>
      </c>
      <c r="AC16" s="25" t="str">
        <f t="shared" si="18"/>
        <v>FCD</v>
      </c>
      <c r="AD16" s="88">
        <v>39</v>
      </c>
      <c r="AE16" s="88">
        <v>25</v>
      </c>
      <c r="AF16" s="257">
        <f t="shared" si="13"/>
        <v>64</v>
      </c>
      <c r="AG16" s="25">
        <f t="shared" si="14"/>
        <v>64</v>
      </c>
      <c r="AH16" s="25" t="str">
        <f t="shared" si="15"/>
        <v>FC</v>
      </c>
      <c r="AI16" s="257">
        <f t="shared" si="19"/>
        <v>540</v>
      </c>
      <c r="AJ16" s="261">
        <f t="shared" si="20"/>
        <v>77.142857142857139</v>
      </c>
      <c r="AK16" s="262" t="str">
        <f t="shared" si="16"/>
        <v>FCD</v>
      </c>
    </row>
    <row r="17" spans="1:37" ht="15.75" x14ac:dyDescent="0.25">
      <c r="A17" s="83">
        <v>74</v>
      </c>
      <c r="B17" s="86" t="s">
        <v>123</v>
      </c>
      <c r="C17" s="47" t="s">
        <v>13</v>
      </c>
      <c r="D17" s="88" t="s">
        <v>221</v>
      </c>
      <c r="E17" s="88">
        <v>43</v>
      </c>
      <c r="F17" s="88">
        <v>34</v>
      </c>
      <c r="G17" s="27">
        <f t="shared" si="0"/>
        <v>77</v>
      </c>
      <c r="H17" s="29">
        <f t="shared" si="1"/>
        <v>77</v>
      </c>
      <c r="I17" s="28" t="str">
        <f t="shared" si="2"/>
        <v>FCD</v>
      </c>
      <c r="J17" s="88">
        <v>50</v>
      </c>
      <c r="K17" s="88">
        <v>29</v>
      </c>
      <c r="L17" s="247">
        <f t="shared" si="3"/>
        <v>79</v>
      </c>
      <c r="M17" s="28">
        <f t="shared" si="4"/>
        <v>79</v>
      </c>
      <c r="N17" s="39" t="str">
        <f t="shared" si="5"/>
        <v>FCD</v>
      </c>
      <c r="O17" s="88">
        <v>47</v>
      </c>
      <c r="P17" s="88">
        <v>28</v>
      </c>
      <c r="Q17" s="247">
        <f t="shared" si="6"/>
        <v>75</v>
      </c>
      <c r="R17" s="28">
        <f t="shared" si="7"/>
        <v>75</v>
      </c>
      <c r="S17" s="25" t="str">
        <f t="shared" si="8"/>
        <v>FCD</v>
      </c>
      <c r="T17" s="88">
        <v>94</v>
      </c>
      <c r="U17" s="88">
        <v>92</v>
      </c>
      <c r="V17" s="247">
        <f t="shared" si="9"/>
        <v>186</v>
      </c>
      <c r="W17" s="30">
        <f t="shared" si="17"/>
        <v>93</v>
      </c>
      <c r="X17" s="25" t="str">
        <f t="shared" si="10"/>
        <v>FCD</v>
      </c>
      <c r="Y17" s="88">
        <v>50</v>
      </c>
      <c r="Z17" s="88">
        <v>43</v>
      </c>
      <c r="AA17" s="257">
        <f t="shared" si="11"/>
        <v>93</v>
      </c>
      <c r="AB17" s="25">
        <f t="shared" si="12"/>
        <v>93</v>
      </c>
      <c r="AC17" s="25" t="str">
        <f t="shared" si="18"/>
        <v>FCD</v>
      </c>
      <c r="AD17" s="88">
        <v>44</v>
      </c>
      <c r="AE17" s="88">
        <v>25</v>
      </c>
      <c r="AF17" s="257">
        <f t="shared" si="13"/>
        <v>69</v>
      </c>
      <c r="AG17" s="25">
        <f t="shared" si="14"/>
        <v>69</v>
      </c>
      <c r="AH17" s="25" t="str">
        <f t="shared" si="15"/>
        <v>FC</v>
      </c>
      <c r="AI17" s="257">
        <f t="shared" si="19"/>
        <v>579</v>
      </c>
      <c r="AJ17" s="261">
        <f t="shared" si="20"/>
        <v>82.714285714285708</v>
      </c>
      <c r="AK17" s="262" t="str">
        <f t="shared" si="16"/>
        <v>FCD</v>
      </c>
    </row>
    <row r="18" spans="1:37" ht="15.75" x14ac:dyDescent="0.25">
      <c r="A18" s="83">
        <v>75</v>
      </c>
      <c r="B18" s="86" t="s">
        <v>124</v>
      </c>
      <c r="C18" s="47" t="s">
        <v>13</v>
      </c>
      <c r="D18" s="88" t="s">
        <v>222</v>
      </c>
      <c r="E18" s="88">
        <v>44</v>
      </c>
      <c r="F18" s="88">
        <v>38</v>
      </c>
      <c r="G18" s="27">
        <f t="shared" si="0"/>
        <v>82</v>
      </c>
      <c r="H18" s="29">
        <f t="shared" si="1"/>
        <v>82</v>
      </c>
      <c r="I18" s="28" t="str">
        <f t="shared" si="2"/>
        <v>FCD</v>
      </c>
      <c r="J18" s="35">
        <v>49</v>
      </c>
      <c r="K18" s="35">
        <v>18</v>
      </c>
      <c r="L18" s="247">
        <f t="shared" si="3"/>
        <v>67</v>
      </c>
      <c r="M18" s="28">
        <f t="shared" si="4"/>
        <v>67</v>
      </c>
      <c r="N18" s="39" t="str">
        <f t="shared" si="5"/>
        <v>FC</v>
      </c>
      <c r="O18" s="35">
        <v>45</v>
      </c>
      <c r="P18" s="35">
        <v>28</v>
      </c>
      <c r="Q18" s="247">
        <f t="shared" si="6"/>
        <v>73</v>
      </c>
      <c r="R18" s="28">
        <f t="shared" si="7"/>
        <v>73</v>
      </c>
      <c r="S18" s="25" t="str">
        <f t="shared" si="8"/>
        <v>FCD</v>
      </c>
      <c r="T18" s="26">
        <v>94</v>
      </c>
      <c r="U18" s="26">
        <v>92</v>
      </c>
      <c r="V18" s="247">
        <f t="shared" si="9"/>
        <v>186</v>
      </c>
      <c r="W18" s="30">
        <f t="shared" si="17"/>
        <v>93</v>
      </c>
      <c r="X18" s="25" t="str">
        <f t="shared" si="10"/>
        <v>FCD</v>
      </c>
      <c r="Y18" s="26">
        <v>50</v>
      </c>
      <c r="Z18" s="26">
        <v>38</v>
      </c>
      <c r="AA18" s="257">
        <f t="shared" si="11"/>
        <v>88</v>
      </c>
      <c r="AB18" s="25">
        <f t="shared" si="12"/>
        <v>88</v>
      </c>
      <c r="AC18" s="25" t="str">
        <f t="shared" si="18"/>
        <v>FCD</v>
      </c>
      <c r="AD18" s="26">
        <v>43</v>
      </c>
      <c r="AE18" s="26">
        <v>26</v>
      </c>
      <c r="AF18" s="257">
        <f t="shared" si="13"/>
        <v>69</v>
      </c>
      <c r="AG18" s="25">
        <f t="shared" si="14"/>
        <v>69</v>
      </c>
      <c r="AH18" s="25" t="str">
        <f t="shared" si="15"/>
        <v>FC</v>
      </c>
      <c r="AI18" s="257">
        <f t="shared" si="19"/>
        <v>565</v>
      </c>
      <c r="AJ18" s="261">
        <f t="shared" si="20"/>
        <v>80.714285714285708</v>
      </c>
      <c r="AK18" s="262" t="str">
        <f t="shared" si="16"/>
        <v>FCD</v>
      </c>
    </row>
    <row r="19" spans="1:37" ht="15.75" x14ac:dyDescent="0.25">
      <c r="A19" s="83">
        <v>76</v>
      </c>
      <c r="B19" s="86" t="s">
        <v>125</v>
      </c>
      <c r="C19" s="47" t="s">
        <v>15</v>
      </c>
      <c r="D19" s="88" t="s">
        <v>223</v>
      </c>
      <c r="E19" s="88">
        <v>44</v>
      </c>
      <c r="F19" s="88">
        <v>29</v>
      </c>
      <c r="G19" s="27">
        <f t="shared" si="0"/>
        <v>73</v>
      </c>
      <c r="H19" s="29">
        <f t="shared" si="1"/>
        <v>73</v>
      </c>
      <c r="I19" s="28" t="str">
        <f t="shared" si="2"/>
        <v>FCD</v>
      </c>
      <c r="J19" s="88">
        <v>50</v>
      </c>
      <c r="K19" s="88">
        <v>27</v>
      </c>
      <c r="L19" s="247">
        <f t="shared" si="3"/>
        <v>77</v>
      </c>
      <c r="M19" s="28">
        <f t="shared" si="4"/>
        <v>77</v>
      </c>
      <c r="N19" s="39" t="str">
        <f t="shared" si="5"/>
        <v>FCD</v>
      </c>
      <c r="O19" s="88">
        <v>45</v>
      </c>
      <c r="P19" s="88">
        <v>18</v>
      </c>
      <c r="Q19" s="247">
        <f t="shared" si="6"/>
        <v>63</v>
      </c>
      <c r="R19" s="28">
        <f t="shared" si="7"/>
        <v>63</v>
      </c>
      <c r="S19" s="25" t="str">
        <f t="shared" si="8"/>
        <v>FC</v>
      </c>
      <c r="T19" s="88">
        <v>92</v>
      </c>
      <c r="U19" s="88">
        <v>92</v>
      </c>
      <c r="V19" s="247">
        <f t="shared" si="9"/>
        <v>184</v>
      </c>
      <c r="W19" s="30">
        <f t="shared" si="17"/>
        <v>92</v>
      </c>
      <c r="X19" s="25" t="str">
        <f t="shared" si="10"/>
        <v>FCD</v>
      </c>
      <c r="Y19" s="88">
        <v>47</v>
      </c>
      <c r="Z19" s="88">
        <v>38</v>
      </c>
      <c r="AA19" s="257">
        <f t="shared" si="11"/>
        <v>85</v>
      </c>
      <c r="AB19" s="25">
        <f t="shared" si="12"/>
        <v>85</v>
      </c>
      <c r="AC19" s="25" t="str">
        <f t="shared" si="18"/>
        <v>FCD</v>
      </c>
      <c r="AD19" s="88">
        <v>48</v>
      </c>
      <c r="AE19" s="88">
        <v>37</v>
      </c>
      <c r="AF19" s="257">
        <f t="shared" si="13"/>
        <v>85</v>
      </c>
      <c r="AG19" s="25">
        <f t="shared" si="14"/>
        <v>85</v>
      </c>
      <c r="AH19" s="25" t="str">
        <f t="shared" si="15"/>
        <v>FCD</v>
      </c>
      <c r="AI19" s="257">
        <f t="shared" si="19"/>
        <v>567</v>
      </c>
      <c r="AJ19" s="261">
        <f t="shared" si="20"/>
        <v>81</v>
      </c>
      <c r="AK19" s="262" t="str">
        <f t="shared" si="16"/>
        <v>FCD</v>
      </c>
    </row>
    <row r="20" spans="1:37" ht="15.75" x14ac:dyDescent="0.25">
      <c r="A20" s="83">
        <v>77</v>
      </c>
      <c r="B20" s="86" t="s">
        <v>126</v>
      </c>
      <c r="C20" s="47" t="s">
        <v>13</v>
      </c>
      <c r="D20" s="88" t="s">
        <v>224</v>
      </c>
      <c r="E20" s="88">
        <v>46</v>
      </c>
      <c r="F20" s="88">
        <v>23</v>
      </c>
      <c r="G20" s="27">
        <f t="shared" si="0"/>
        <v>69</v>
      </c>
      <c r="H20" s="29">
        <f t="shared" si="1"/>
        <v>69</v>
      </c>
      <c r="I20" s="28" t="str">
        <f t="shared" si="2"/>
        <v>FC</v>
      </c>
      <c r="J20" s="88">
        <v>50</v>
      </c>
      <c r="K20" s="88">
        <v>25</v>
      </c>
      <c r="L20" s="247">
        <f t="shared" si="3"/>
        <v>75</v>
      </c>
      <c r="M20" s="28">
        <f t="shared" si="4"/>
        <v>75</v>
      </c>
      <c r="N20" s="39" t="str">
        <f t="shared" si="5"/>
        <v>FCD</v>
      </c>
      <c r="O20" s="88">
        <v>48</v>
      </c>
      <c r="P20" s="88">
        <v>25</v>
      </c>
      <c r="Q20" s="247">
        <f t="shared" si="6"/>
        <v>73</v>
      </c>
      <c r="R20" s="28">
        <f t="shared" si="7"/>
        <v>73</v>
      </c>
      <c r="S20" s="25" t="str">
        <f t="shared" si="8"/>
        <v>FCD</v>
      </c>
      <c r="T20" s="88">
        <v>92</v>
      </c>
      <c r="U20" s="88">
        <v>90</v>
      </c>
      <c r="V20" s="247">
        <f t="shared" si="9"/>
        <v>182</v>
      </c>
      <c r="W20" s="30">
        <f t="shared" si="17"/>
        <v>91</v>
      </c>
      <c r="X20" s="25" t="str">
        <f t="shared" si="10"/>
        <v>FCD</v>
      </c>
      <c r="Y20" s="88">
        <v>49</v>
      </c>
      <c r="Z20" s="88">
        <v>28</v>
      </c>
      <c r="AA20" s="257">
        <f t="shared" si="11"/>
        <v>77</v>
      </c>
      <c r="AB20" s="25">
        <f t="shared" si="12"/>
        <v>77</v>
      </c>
      <c r="AC20" s="25" t="str">
        <f t="shared" si="18"/>
        <v>FCD</v>
      </c>
      <c r="AD20" s="88">
        <v>43</v>
      </c>
      <c r="AE20" s="88">
        <v>34</v>
      </c>
      <c r="AF20" s="257">
        <f t="shared" si="13"/>
        <v>77</v>
      </c>
      <c r="AG20" s="25">
        <f t="shared" si="14"/>
        <v>77</v>
      </c>
      <c r="AH20" s="25" t="str">
        <f t="shared" si="15"/>
        <v>FCD</v>
      </c>
      <c r="AI20" s="257">
        <f t="shared" si="19"/>
        <v>553</v>
      </c>
      <c r="AJ20" s="261">
        <f t="shared" si="20"/>
        <v>79</v>
      </c>
      <c r="AK20" s="262" t="str">
        <f t="shared" si="16"/>
        <v>FCD</v>
      </c>
    </row>
    <row r="21" spans="1:37" ht="15.75" x14ac:dyDescent="0.25">
      <c r="A21" s="161">
        <v>78</v>
      </c>
      <c r="B21" s="162" t="s">
        <v>127</v>
      </c>
      <c r="C21" s="163" t="s">
        <v>13</v>
      </c>
      <c r="D21" s="164" t="s">
        <v>225</v>
      </c>
      <c r="E21" s="164">
        <v>47</v>
      </c>
      <c r="F21" s="164">
        <v>31</v>
      </c>
      <c r="G21" s="165">
        <f t="shared" si="0"/>
        <v>78</v>
      </c>
      <c r="H21" s="166">
        <f t="shared" si="1"/>
        <v>78</v>
      </c>
      <c r="I21" s="167" t="str">
        <f t="shared" si="2"/>
        <v>FCD</v>
      </c>
      <c r="J21" s="164">
        <v>50</v>
      </c>
      <c r="K21" s="164">
        <v>31</v>
      </c>
      <c r="L21" s="268">
        <f t="shared" si="3"/>
        <v>81</v>
      </c>
      <c r="M21" s="167">
        <f t="shared" si="4"/>
        <v>81</v>
      </c>
      <c r="N21" s="182" t="str">
        <f t="shared" si="5"/>
        <v>FCD</v>
      </c>
      <c r="O21" s="164">
        <v>50</v>
      </c>
      <c r="P21" s="164">
        <v>29</v>
      </c>
      <c r="Q21" s="268">
        <f t="shared" si="6"/>
        <v>79</v>
      </c>
      <c r="R21" s="167">
        <f t="shared" si="7"/>
        <v>79</v>
      </c>
      <c r="S21" s="169" t="str">
        <f t="shared" si="8"/>
        <v>FCD</v>
      </c>
      <c r="T21" s="164">
        <v>97</v>
      </c>
      <c r="U21" s="164">
        <v>91</v>
      </c>
      <c r="V21" s="268">
        <f t="shared" si="9"/>
        <v>188</v>
      </c>
      <c r="W21" s="168">
        <f t="shared" si="17"/>
        <v>94</v>
      </c>
      <c r="X21" s="169" t="str">
        <f t="shared" si="10"/>
        <v>FCD</v>
      </c>
      <c r="Y21" s="164">
        <v>50</v>
      </c>
      <c r="Z21" s="164">
        <v>35</v>
      </c>
      <c r="AA21" s="269">
        <f t="shared" si="11"/>
        <v>85</v>
      </c>
      <c r="AB21" s="169">
        <f t="shared" si="12"/>
        <v>85</v>
      </c>
      <c r="AC21" s="169" t="str">
        <f t="shared" si="18"/>
        <v>FCD</v>
      </c>
      <c r="AD21" s="164">
        <v>49</v>
      </c>
      <c r="AE21" s="164">
        <v>38</v>
      </c>
      <c r="AF21" s="269">
        <f t="shared" si="13"/>
        <v>87</v>
      </c>
      <c r="AG21" s="169">
        <f t="shared" si="14"/>
        <v>87</v>
      </c>
      <c r="AH21" s="169" t="str">
        <f t="shared" si="15"/>
        <v>FCD</v>
      </c>
      <c r="AI21" s="257">
        <f t="shared" si="19"/>
        <v>598</v>
      </c>
      <c r="AJ21" s="272">
        <f t="shared" si="20"/>
        <v>85.428571428571431</v>
      </c>
      <c r="AK21" s="273" t="str">
        <f t="shared" si="16"/>
        <v>FCD</v>
      </c>
    </row>
    <row r="22" spans="1:37" ht="15.75" x14ac:dyDescent="0.25">
      <c r="A22" s="83">
        <v>79</v>
      </c>
      <c r="B22" s="86" t="s">
        <v>128</v>
      </c>
      <c r="C22" s="47" t="s">
        <v>13</v>
      </c>
      <c r="D22" s="88" t="s">
        <v>226</v>
      </c>
      <c r="E22" s="88">
        <v>47</v>
      </c>
      <c r="F22" s="88">
        <v>23</v>
      </c>
      <c r="G22" s="27">
        <f t="shared" si="0"/>
        <v>70</v>
      </c>
      <c r="H22" s="29">
        <f t="shared" si="1"/>
        <v>70</v>
      </c>
      <c r="I22" s="28" t="str">
        <f t="shared" si="2"/>
        <v>FCD</v>
      </c>
      <c r="J22" s="88">
        <v>50</v>
      </c>
      <c r="K22" s="88">
        <v>31</v>
      </c>
      <c r="L22" s="247">
        <f t="shared" si="3"/>
        <v>81</v>
      </c>
      <c r="M22" s="28">
        <f t="shared" si="4"/>
        <v>81</v>
      </c>
      <c r="N22" s="39" t="str">
        <f t="shared" si="5"/>
        <v>FCD</v>
      </c>
      <c r="O22" s="88">
        <v>48</v>
      </c>
      <c r="P22" s="88">
        <v>29</v>
      </c>
      <c r="Q22" s="247">
        <f t="shared" si="6"/>
        <v>77</v>
      </c>
      <c r="R22" s="28">
        <f t="shared" si="7"/>
        <v>77</v>
      </c>
      <c r="S22" s="25" t="str">
        <f t="shared" si="8"/>
        <v>FCD</v>
      </c>
      <c r="T22" s="88">
        <v>96</v>
      </c>
      <c r="U22" s="88">
        <v>92</v>
      </c>
      <c r="V22" s="247">
        <f t="shared" si="9"/>
        <v>188</v>
      </c>
      <c r="W22" s="30">
        <f t="shared" si="17"/>
        <v>94</v>
      </c>
      <c r="X22" s="25" t="str">
        <f t="shared" si="10"/>
        <v>FCD</v>
      </c>
      <c r="Y22" s="88">
        <v>50</v>
      </c>
      <c r="Z22" s="88">
        <v>42</v>
      </c>
      <c r="AA22" s="257">
        <f t="shared" si="11"/>
        <v>92</v>
      </c>
      <c r="AB22" s="25">
        <f t="shared" si="12"/>
        <v>92</v>
      </c>
      <c r="AC22" s="25" t="str">
        <f t="shared" si="18"/>
        <v>FCD</v>
      </c>
      <c r="AD22" s="88">
        <v>48</v>
      </c>
      <c r="AE22" s="88">
        <v>25</v>
      </c>
      <c r="AF22" s="257">
        <f t="shared" si="13"/>
        <v>73</v>
      </c>
      <c r="AG22" s="25">
        <f t="shared" si="14"/>
        <v>73</v>
      </c>
      <c r="AH22" s="25" t="str">
        <f t="shared" si="15"/>
        <v>FCD</v>
      </c>
      <c r="AI22" s="257">
        <f t="shared" si="19"/>
        <v>581</v>
      </c>
      <c r="AJ22" s="261">
        <f t="shared" si="20"/>
        <v>83</v>
      </c>
      <c r="AK22" s="262" t="str">
        <f t="shared" si="16"/>
        <v>FCD</v>
      </c>
    </row>
    <row r="23" spans="1:37" ht="15.75" x14ac:dyDescent="0.25">
      <c r="A23" s="83">
        <v>80</v>
      </c>
      <c r="B23" s="86" t="s">
        <v>129</v>
      </c>
      <c r="C23" s="47" t="s">
        <v>15</v>
      </c>
      <c r="D23" s="88" t="s">
        <v>227</v>
      </c>
      <c r="E23" s="88">
        <v>41</v>
      </c>
      <c r="F23" s="88">
        <v>18</v>
      </c>
      <c r="G23" s="27">
        <f t="shared" si="0"/>
        <v>59</v>
      </c>
      <c r="H23" s="29">
        <f t="shared" si="1"/>
        <v>59</v>
      </c>
      <c r="I23" s="28" t="str">
        <f t="shared" si="2"/>
        <v>SC</v>
      </c>
      <c r="J23" s="88">
        <v>49</v>
      </c>
      <c r="K23" s="88">
        <v>33</v>
      </c>
      <c r="L23" s="247">
        <f t="shared" si="3"/>
        <v>82</v>
      </c>
      <c r="M23" s="28">
        <f t="shared" si="4"/>
        <v>82</v>
      </c>
      <c r="N23" s="39" t="str">
        <f t="shared" si="5"/>
        <v>FCD</v>
      </c>
      <c r="O23" s="88">
        <v>47</v>
      </c>
      <c r="P23" s="88">
        <v>19</v>
      </c>
      <c r="Q23" s="247">
        <f t="shared" si="6"/>
        <v>66</v>
      </c>
      <c r="R23" s="28">
        <f t="shared" si="7"/>
        <v>66</v>
      </c>
      <c r="S23" s="25" t="str">
        <f t="shared" si="8"/>
        <v>FC</v>
      </c>
      <c r="T23" s="88">
        <v>94</v>
      </c>
      <c r="U23" s="88">
        <v>86</v>
      </c>
      <c r="V23" s="247">
        <f t="shared" si="9"/>
        <v>180</v>
      </c>
      <c r="W23" s="30">
        <f t="shared" si="17"/>
        <v>90</v>
      </c>
      <c r="X23" s="25" t="str">
        <f t="shared" si="10"/>
        <v>FCD</v>
      </c>
      <c r="Y23" s="88">
        <v>48</v>
      </c>
      <c r="Z23" s="88">
        <v>23</v>
      </c>
      <c r="AA23" s="257">
        <f t="shared" si="11"/>
        <v>71</v>
      </c>
      <c r="AB23" s="25">
        <f t="shared" si="12"/>
        <v>71</v>
      </c>
      <c r="AC23" s="25" t="str">
        <f t="shared" si="18"/>
        <v>FCD</v>
      </c>
      <c r="AD23" s="88">
        <v>44</v>
      </c>
      <c r="AE23" s="88">
        <v>25</v>
      </c>
      <c r="AF23" s="257">
        <f t="shared" si="13"/>
        <v>69</v>
      </c>
      <c r="AG23" s="25">
        <f t="shared" si="14"/>
        <v>69</v>
      </c>
      <c r="AH23" s="25" t="str">
        <f t="shared" si="15"/>
        <v>FC</v>
      </c>
      <c r="AI23" s="257">
        <f t="shared" si="19"/>
        <v>527</v>
      </c>
      <c r="AJ23" s="261">
        <f t="shared" si="20"/>
        <v>75.285714285714292</v>
      </c>
      <c r="AK23" s="262" t="str">
        <f t="shared" si="16"/>
        <v>FCD</v>
      </c>
    </row>
    <row r="24" spans="1:37" ht="15.75" x14ac:dyDescent="0.25">
      <c r="A24" s="83">
        <v>81</v>
      </c>
      <c r="B24" s="86" t="s">
        <v>130</v>
      </c>
      <c r="C24" s="47" t="s">
        <v>15</v>
      </c>
      <c r="D24" s="88" t="s">
        <v>228</v>
      </c>
      <c r="E24" s="88">
        <v>45</v>
      </c>
      <c r="F24" s="88">
        <v>32</v>
      </c>
      <c r="G24" s="27">
        <f t="shared" si="0"/>
        <v>77</v>
      </c>
      <c r="H24" s="29">
        <f t="shared" si="1"/>
        <v>77</v>
      </c>
      <c r="I24" s="28" t="str">
        <f t="shared" si="2"/>
        <v>FCD</v>
      </c>
      <c r="J24" s="88">
        <v>47</v>
      </c>
      <c r="K24" s="88">
        <v>33</v>
      </c>
      <c r="L24" s="247">
        <f t="shared" si="3"/>
        <v>80</v>
      </c>
      <c r="M24" s="28">
        <f t="shared" si="4"/>
        <v>80</v>
      </c>
      <c r="N24" s="39" t="str">
        <f t="shared" si="5"/>
        <v>FCD</v>
      </c>
      <c r="O24" s="88">
        <v>50</v>
      </c>
      <c r="P24" s="88">
        <v>30</v>
      </c>
      <c r="Q24" s="247">
        <f t="shared" si="6"/>
        <v>80</v>
      </c>
      <c r="R24" s="28">
        <f t="shared" si="7"/>
        <v>80</v>
      </c>
      <c r="S24" s="25" t="str">
        <f t="shared" si="8"/>
        <v>FCD</v>
      </c>
      <c r="T24" s="88">
        <v>93</v>
      </c>
      <c r="U24" s="88">
        <v>83</v>
      </c>
      <c r="V24" s="247">
        <f t="shared" si="9"/>
        <v>176</v>
      </c>
      <c r="W24" s="30">
        <f t="shared" si="17"/>
        <v>88</v>
      </c>
      <c r="X24" s="25" t="str">
        <f t="shared" si="10"/>
        <v>FCD</v>
      </c>
      <c r="Y24" s="88">
        <v>50</v>
      </c>
      <c r="Z24" s="88">
        <v>43</v>
      </c>
      <c r="AA24" s="257">
        <f t="shared" si="11"/>
        <v>93</v>
      </c>
      <c r="AB24" s="25">
        <f t="shared" si="12"/>
        <v>93</v>
      </c>
      <c r="AC24" s="25" t="str">
        <f t="shared" si="18"/>
        <v>FCD</v>
      </c>
      <c r="AD24" s="88">
        <v>48</v>
      </c>
      <c r="AE24" s="88">
        <v>32</v>
      </c>
      <c r="AF24" s="257">
        <f t="shared" si="13"/>
        <v>80</v>
      </c>
      <c r="AG24" s="25">
        <f t="shared" si="14"/>
        <v>80</v>
      </c>
      <c r="AH24" s="25" t="str">
        <f t="shared" si="15"/>
        <v>FCD</v>
      </c>
      <c r="AI24" s="257">
        <f t="shared" si="19"/>
        <v>586</v>
      </c>
      <c r="AJ24" s="261">
        <f t="shared" si="20"/>
        <v>83.714285714285708</v>
      </c>
      <c r="AK24" s="262" t="str">
        <f t="shared" si="16"/>
        <v>FCD</v>
      </c>
    </row>
    <row r="25" spans="1:37" ht="15.75" x14ac:dyDescent="0.25">
      <c r="A25" s="170">
        <v>82</v>
      </c>
      <c r="B25" s="171" t="s">
        <v>131</v>
      </c>
      <c r="C25" s="172" t="s">
        <v>15</v>
      </c>
      <c r="D25" s="174" t="s">
        <v>229</v>
      </c>
      <c r="E25" s="174">
        <v>44</v>
      </c>
      <c r="F25" s="174">
        <v>24</v>
      </c>
      <c r="G25" s="175">
        <f t="shared" si="0"/>
        <v>68</v>
      </c>
      <c r="H25" s="176">
        <f t="shared" si="1"/>
        <v>68</v>
      </c>
      <c r="I25" s="177" t="str">
        <f t="shared" si="2"/>
        <v>FC</v>
      </c>
      <c r="J25" s="174">
        <v>50</v>
      </c>
      <c r="K25" s="174">
        <v>31</v>
      </c>
      <c r="L25" s="251">
        <f t="shared" si="3"/>
        <v>81</v>
      </c>
      <c r="M25" s="177">
        <f t="shared" si="4"/>
        <v>81</v>
      </c>
      <c r="N25" s="183" t="str">
        <f t="shared" si="5"/>
        <v>FCD</v>
      </c>
      <c r="O25" s="174">
        <v>50</v>
      </c>
      <c r="P25" s="174">
        <v>38</v>
      </c>
      <c r="Q25" s="251">
        <f t="shared" si="6"/>
        <v>88</v>
      </c>
      <c r="R25" s="177">
        <f t="shared" si="7"/>
        <v>88</v>
      </c>
      <c r="S25" s="181" t="str">
        <f t="shared" si="8"/>
        <v>FCD</v>
      </c>
      <c r="T25" s="174">
        <v>84</v>
      </c>
      <c r="U25" s="174">
        <v>92</v>
      </c>
      <c r="V25" s="251">
        <f t="shared" si="9"/>
        <v>176</v>
      </c>
      <c r="W25" s="180">
        <f t="shared" si="17"/>
        <v>88</v>
      </c>
      <c r="X25" s="181" t="str">
        <f t="shared" si="10"/>
        <v>FCD</v>
      </c>
      <c r="Y25" s="174">
        <v>50</v>
      </c>
      <c r="Z25" s="174">
        <v>41</v>
      </c>
      <c r="AA25" s="260">
        <f t="shared" si="11"/>
        <v>91</v>
      </c>
      <c r="AB25" s="181">
        <f t="shared" si="12"/>
        <v>91</v>
      </c>
      <c r="AC25" s="181" t="str">
        <f t="shared" si="18"/>
        <v>FCD</v>
      </c>
      <c r="AD25" s="174">
        <v>49</v>
      </c>
      <c r="AE25" s="174">
        <v>38</v>
      </c>
      <c r="AF25" s="260">
        <f t="shared" si="13"/>
        <v>87</v>
      </c>
      <c r="AG25" s="181">
        <f t="shared" si="14"/>
        <v>87</v>
      </c>
      <c r="AH25" s="181" t="str">
        <f t="shared" si="15"/>
        <v>FCD</v>
      </c>
      <c r="AI25" s="257">
        <f t="shared" si="19"/>
        <v>591</v>
      </c>
      <c r="AJ25" s="274">
        <f t="shared" si="20"/>
        <v>84.428571428571431</v>
      </c>
      <c r="AK25" s="267" t="str">
        <f t="shared" si="16"/>
        <v>FCD</v>
      </c>
    </row>
    <row r="26" spans="1:37" ht="15.75" x14ac:dyDescent="0.25">
      <c r="A26" s="83">
        <v>83</v>
      </c>
      <c r="B26" s="86" t="s">
        <v>132</v>
      </c>
      <c r="C26" s="47" t="s">
        <v>15</v>
      </c>
      <c r="D26" s="88" t="s">
        <v>230</v>
      </c>
      <c r="E26" s="88">
        <v>44</v>
      </c>
      <c r="F26" s="88">
        <v>22</v>
      </c>
      <c r="G26" s="27">
        <f t="shared" si="0"/>
        <v>66</v>
      </c>
      <c r="H26" s="29">
        <f t="shared" si="1"/>
        <v>66</v>
      </c>
      <c r="I26" s="28" t="str">
        <f t="shared" si="2"/>
        <v>FC</v>
      </c>
      <c r="J26" s="88">
        <v>50</v>
      </c>
      <c r="K26" s="88">
        <v>34</v>
      </c>
      <c r="L26" s="247">
        <f t="shared" si="3"/>
        <v>84</v>
      </c>
      <c r="M26" s="28">
        <f t="shared" si="4"/>
        <v>84</v>
      </c>
      <c r="N26" s="39" t="str">
        <f t="shared" si="5"/>
        <v>FCD</v>
      </c>
      <c r="O26" s="88">
        <v>50</v>
      </c>
      <c r="P26" s="88">
        <v>26</v>
      </c>
      <c r="Q26" s="247">
        <f t="shared" si="6"/>
        <v>76</v>
      </c>
      <c r="R26" s="28">
        <f t="shared" si="7"/>
        <v>76</v>
      </c>
      <c r="S26" s="25" t="str">
        <f t="shared" si="8"/>
        <v>FCD</v>
      </c>
      <c r="T26" s="88">
        <v>93</v>
      </c>
      <c r="U26" s="88">
        <v>82</v>
      </c>
      <c r="V26" s="247">
        <f t="shared" si="9"/>
        <v>175</v>
      </c>
      <c r="W26" s="30">
        <f t="shared" si="17"/>
        <v>87.5</v>
      </c>
      <c r="X26" s="25" t="str">
        <f t="shared" si="10"/>
        <v>FCD</v>
      </c>
      <c r="Y26" s="88">
        <v>49</v>
      </c>
      <c r="Z26" s="88">
        <v>40</v>
      </c>
      <c r="AA26" s="257">
        <f t="shared" si="11"/>
        <v>89</v>
      </c>
      <c r="AB26" s="25">
        <f t="shared" si="12"/>
        <v>89</v>
      </c>
      <c r="AC26" s="25" t="str">
        <f t="shared" si="18"/>
        <v>FCD</v>
      </c>
      <c r="AD26" s="88">
        <v>44</v>
      </c>
      <c r="AE26" s="88">
        <v>24</v>
      </c>
      <c r="AF26" s="257">
        <f t="shared" si="13"/>
        <v>68</v>
      </c>
      <c r="AG26" s="25">
        <f t="shared" si="14"/>
        <v>68</v>
      </c>
      <c r="AH26" s="25" t="str">
        <f t="shared" si="15"/>
        <v>FC</v>
      </c>
      <c r="AI26" s="257">
        <f t="shared" si="19"/>
        <v>558</v>
      </c>
      <c r="AJ26" s="261">
        <f t="shared" si="20"/>
        <v>79.714285714285708</v>
      </c>
      <c r="AK26" s="262" t="str">
        <f t="shared" si="16"/>
        <v>FCD</v>
      </c>
    </row>
    <row r="27" spans="1:37" ht="15.75" x14ac:dyDescent="0.25">
      <c r="A27" s="83">
        <v>84</v>
      </c>
      <c r="B27" s="86" t="s">
        <v>133</v>
      </c>
      <c r="C27" s="47" t="s">
        <v>13</v>
      </c>
      <c r="D27" s="88" t="s">
        <v>231</v>
      </c>
      <c r="E27" s="88">
        <v>45</v>
      </c>
      <c r="F27" s="88">
        <v>30</v>
      </c>
      <c r="G27" s="27">
        <f t="shared" si="0"/>
        <v>75</v>
      </c>
      <c r="H27" s="29">
        <f t="shared" si="1"/>
        <v>75</v>
      </c>
      <c r="I27" s="28" t="str">
        <f t="shared" si="2"/>
        <v>FCD</v>
      </c>
      <c r="J27" s="88">
        <v>50</v>
      </c>
      <c r="K27" s="88">
        <v>25</v>
      </c>
      <c r="L27" s="247">
        <f t="shared" si="3"/>
        <v>75</v>
      </c>
      <c r="M27" s="28">
        <f t="shared" si="4"/>
        <v>75</v>
      </c>
      <c r="N27" s="39" t="str">
        <f t="shared" si="5"/>
        <v>FCD</v>
      </c>
      <c r="O27" s="88">
        <v>50</v>
      </c>
      <c r="P27" s="88">
        <v>28</v>
      </c>
      <c r="Q27" s="247">
        <f t="shared" si="6"/>
        <v>78</v>
      </c>
      <c r="R27" s="28">
        <f t="shared" si="7"/>
        <v>78</v>
      </c>
      <c r="S27" s="25" t="str">
        <f t="shared" si="8"/>
        <v>FCD</v>
      </c>
      <c r="T27" s="88">
        <v>93</v>
      </c>
      <c r="U27" s="88">
        <v>90</v>
      </c>
      <c r="V27" s="247">
        <f t="shared" si="9"/>
        <v>183</v>
      </c>
      <c r="W27" s="30">
        <f t="shared" si="17"/>
        <v>91.5</v>
      </c>
      <c r="X27" s="25" t="str">
        <f t="shared" si="10"/>
        <v>FCD</v>
      </c>
      <c r="Y27" s="88">
        <v>50</v>
      </c>
      <c r="Z27" s="88">
        <v>37</v>
      </c>
      <c r="AA27" s="257">
        <f t="shared" si="11"/>
        <v>87</v>
      </c>
      <c r="AB27" s="25">
        <f t="shared" si="12"/>
        <v>87</v>
      </c>
      <c r="AC27" s="25" t="str">
        <f t="shared" si="18"/>
        <v>FCD</v>
      </c>
      <c r="AD27" s="88">
        <v>47</v>
      </c>
      <c r="AE27" s="88">
        <v>24</v>
      </c>
      <c r="AF27" s="257">
        <f t="shared" si="13"/>
        <v>71</v>
      </c>
      <c r="AG27" s="25">
        <f t="shared" si="14"/>
        <v>71</v>
      </c>
      <c r="AH27" s="25" t="str">
        <f t="shared" si="15"/>
        <v>FCD</v>
      </c>
      <c r="AI27" s="257">
        <f t="shared" si="19"/>
        <v>569</v>
      </c>
      <c r="AJ27" s="261">
        <f t="shared" si="20"/>
        <v>81.285714285714292</v>
      </c>
      <c r="AK27" s="262" t="str">
        <f t="shared" si="16"/>
        <v>FCD</v>
      </c>
    </row>
    <row r="28" spans="1:37" ht="15.75" x14ac:dyDescent="0.25">
      <c r="A28" s="83">
        <v>85</v>
      </c>
      <c r="B28" s="86" t="s">
        <v>134</v>
      </c>
      <c r="C28" s="47" t="s">
        <v>13</v>
      </c>
      <c r="D28" s="88" t="s">
        <v>232</v>
      </c>
      <c r="E28" s="88">
        <v>45</v>
      </c>
      <c r="F28" s="88">
        <v>29</v>
      </c>
      <c r="G28" s="27">
        <f t="shared" si="0"/>
        <v>74</v>
      </c>
      <c r="H28" s="29">
        <f t="shared" si="1"/>
        <v>74</v>
      </c>
      <c r="I28" s="28" t="str">
        <f t="shared" si="2"/>
        <v>FCD</v>
      </c>
      <c r="J28" s="88">
        <v>50</v>
      </c>
      <c r="K28" s="88">
        <v>33</v>
      </c>
      <c r="L28" s="247">
        <f t="shared" si="3"/>
        <v>83</v>
      </c>
      <c r="M28" s="28">
        <f t="shared" si="4"/>
        <v>83</v>
      </c>
      <c r="N28" s="39" t="str">
        <f t="shared" si="5"/>
        <v>FCD</v>
      </c>
      <c r="O28" s="88">
        <v>50</v>
      </c>
      <c r="P28" s="88">
        <v>33</v>
      </c>
      <c r="Q28" s="247">
        <f t="shared" si="6"/>
        <v>83</v>
      </c>
      <c r="R28" s="28">
        <f t="shared" si="7"/>
        <v>83</v>
      </c>
      <c r="S28" s="25" t="str">
        <f t="shared" si="8"/>
        <v>FCD</v>
      </c>
      <c r="T28" s="88">
        <v>83</v>
      </c>
      <c r="U28" s="88">
        <v>89</v>
      </c>
      <c r="V28" s="247">
        <f t="shared" si="9"/>
        <v>172</v>
      </c>
      <c r="W28" s="30">
        <f t="shared" si="17"/>
        <v>86</v>
      </c>
      <c r="X28" s="25" t="str">
        <f t="shared" si="10"/>
        <v>FCD</v>
      </c>
      <c r="Y28" s="88">
        <v>50</v>
      </c>
      <c r="Z28" s="88">
        <v>31</v>
      </c>
      <c r="AA28" s="257">
        <f t="shared" si="11"/>
        <v>81</v>
      </c>
      <c r="AB28" s="25">
        <f t="shared" si="12"/>
        <v>81</v>
      </c>
      <c r="AC28" s="25" t="str">
        <f t="shared" si="18"/>
        <v>FCD</v>
      </c>
      <c r="AD28" s="88">
        <v>48</v>
      </c>
      <c r="AE28" s="88">
        <v>32</v>
      </c>
      <c r="AF28" s="257">
        <f t="shared" si="13"/>
        <v>80</v>
      </c>
      <c r="AG28" s="25">
        <f t="shared" si="14"/>
        <v>80</v>
      </c>
      <c r="AH28" s="25" t="str">
        <f t="shared" si="15"/>
        <v>FCD</v>
      </c>
      <c r="AI28" s="257">
        <f t="shared" si="19"/>
        <v>573</v>
      </c>
      <c r="AJ28" s="261">
        <f t="shared" si="20"/>
        <v>81.857142857142861</v>
      </c>
      <c r="AK28" s="262" t="str">
        <f t="shared" si="16"/>
        <v>FCD</v>
      </c>
    </row>
    <row r="29" spans="1:37" ht="15.75" x14ac:dyDescent="0.25">
      <c r="A29" s="83">
        <v>86</v>
      </c>
      <c r="B29" s="86" t="s">
        <v>135</v>
      </c>
      <c r="C29" s="47" t="s">
        <v>13</v>
      </c>
      <c r="D29" s="88" t="s">
        <v>233</v>
      </c>
      <c r="E29" s="88">
        <v>45</v>
      </c>
      <c r="F29" s="88">
        <v>41</v>
      </c>
      <c r="G29" s="27">
        <f t="shared" si="0"/>
        <v>86</v>
      </c>
      <c r="H29" s="29">
        <f t="shared" si="1"/>
        <v>86</v>
      </c>
      <c r="I29" s="28" t="str">
        <f t="shared" si="2"/>
        <v>FCD</v>
      </c>
      <c r="J29" s="88">
        <v>50</v>
      </c>
      <c r="K29" s="88">
        <v>24</v>
      </c>
      <c r="L29" s="247">
        <f t="shared" si="3"/>
        <v>74</v>
      </c>
      <c r="M29" s="28">
        <f t="shared" si="4"/>
        <v>74</v>
      </c>
      <c r="N29" s="39" t="str">
        <f t="shared" si="5"/>
        <v>FCD</v>
      </c>
      <c r="O29" s="88">
        <v>50</v>
      </c>
      <c r="P29" s="88">
        <v>19</v>
      </c>
      <c r="Q29" s="250">
        <f t="shared" si="6"/>
        <v>69</v>
      </c>
      <c r="R29" s="31">
        <f t="shared" si="7"/>
        <v>69</v>
      </c>
      <c r="S29" s="33" t="str">
        <f t="shared" si="8"/>
        <v>FC</v>
      </c>
      <c r="T29" s="88">
        <v>84</v>
      </c>
      <c r="U29" s="88">
        <v>87</v>
      </c>
      <c r="V29" s="247">
        <f t="shared" si="9"/>
        <v>171</v>
      </c>
      <c r="W29" s="30">
        <f t="shared" si="17"/>
        <v>85.5</v>
      </c>
      <c r="X29" s="25" t="str">
        <f t="shared" si="10"/>
        <v>FCD</v>
      </c>
      <c r="Y29" s="88">
        <v>50</v>
      </c>
      <c r="Z29" s="88">
        <v>32</v>
      </c>
      <c r="AA29" s="257">
        <f t="shared" si="11"/>
        <v>82</v>
      </c>
      <c r="AB29" s="25">
        <f t="shared" si="12"/>
        <v>82</v>
      </c>
      <c r="AC29" s="25" t="str">
        <f t="shared" si="18"/>
        <v>FCD</v>
      </c>
      <c r="AD29" s="88">
        <v>48</v>
      </c>
      <c r="AE29" s="88">
        <v>24</v>
      </c>
      <c r="AF29" s="257">
        <f t="shared" si="13"/>
        <v>72</v>
      </c>
      <c r="AG29" s="25">
        <f t="shared" si="14"/>
        <v>72</v>
      </c>
      <c r="AH29" s="25" t="str">
        <f t="shared" si="15"/>
        <v>FCD</v>
      </c>
      <c r="AI29" s="257">
        <f t="shared" si="19"/>
        <v>554</v>
      </c>
      <c r="AJ29" s="261">
        <f t="shared" si="20"/>
        <v>79.142857142857139</v>
      </c>
      <c r="AK29" s="262" t="str">
        <f t="shared" si="16"/>
        <v>FCD</v>
      </c>
    </row>
    <row r="30" spans="1:37" ht="15.75" x14ac:dyDescent="0.25">
      <c r="A30" s="83">
        <v>87</v>
      </c>
      <c r="B30" s="86" t="s">
        <v>136</v>
      </c>
      <c r="C30" s="47" t="s">
        <v>13</v>
      </c>
      <c r="D30" s="88" t="s">
        <v>234</v>
      </c>
      <c r="E30" s="88">
        <v>46</v>
      </c>
      <c r="F30" s="88">
        <v>24</v>
      </c>
      <c r="G30" s="27">
        <f t="shared" si="0"/>
        <v>70</v>
      </c>
      <c r="H30" s="29">
        <f t="shared" si="1"/>
        <v>70</v>
      </c>
      <c r="I30" s="28" t="str">
        <f t="shared" si="2"/>
        <v>FCD</v>
      </c>
      <c r="J30" s="88">
        <v>48</v>
      </c>
      <c r="K30" s="88">
        <v>31</v>
      </c>
      <c r="L30" s="247">
        <f t="shared" si="3"/>
        <v>79</v>
      </c>
      <c r="M30" s="28">
        <f t="shared" si="4"/>
        <v>79</v>
      </c>
      <c r="N30" s="39" t="str">
        <f t="shared" si="5"/>
        <v>FCD</v>
      </c>
      <c r="O30" s="88">
        <v>50</v>
      </c>
      <c r="P30" s="88">
        <v>35</v>
      </c>
      <c r="Q30" s="247">
        <f t="shared" si="6"/>
        <v>85</v>
      </c>
      <c r="R30" s="28">
        <f t="shared" si="7"/>
        <v>85</v>
      </c>
      <c r="S30" s="25" t="str">
        <f t="shared" si="8"/>
        <v>FCD</v>
      </c>
      <c r="T30" s="88">
        <v>92</v>
      </c>
      <c r="U30" s="88">
        <v>90</v>
      </c>
      <c r="V30" s="247">
        <f t="shared" si="9"/>
        <v>182</v>
      </c>
      <c r="W30" s="30">
        <f t="shared" si="17"/>
        <v>91</v>
      </c>
      <c r="X30" s="25" t="str">
        <f t="shared" si="10"/>
        <v>FCD</v>
      </c>
      <c r="Y30" s="88">
        <v>50</v>
      </c>
      <c r="Z30" s="88">
        <v>35</v>
      </c>
      <c r="AA30" s="257">
        <f t="shared" si="11"/>
        <v>85</v>
      </c>
      <c r="AB30" s="25">
        <f t="shared" si="12"/>
        <v>85</v>
      </c>
      <c r="AC30" s="25" t="str">
        <f t="shared" si="18"/>
        <v>FCD</v>
      </c>
      <c r="AD30" s="88">
        <v>49</v>
      </c>
      <c r="AE30" s="88">
        <v>38</v>
      </c>
      <c r="AF30" s="257">
        <f t="shared" si="13"/>
        <v>87</v>
      </c>
      <c r="AG30" s="25">
        <f t="shared" si="14"/>
        <v>87</v>
      </c>
      <c r="AH30" s="25" t="str">
        <f t="shared" si="15"/>
        <v>FCD</v>
      </c>
      <c r="AI30" s="257">
        <f t="shared" si="19"/>
        <v>588</v>
      </c>
      <c r="AJ30" s="261">
        <f t="shared" si="20"/>
        <v>84</v>
      </c>
      <c r="AK30" s="262" t="str">
        <f t="shared" si="16"/>
        <v>FCD</v>
      </c>
    </row>
    <row r="31" spans="1:37" ht="15.75" x14ac:dyDescent="0.25">
      <c r="A31" s="83">
        <v>88</v>
      </c>
      <c r="B31" s="86" t="s">
        <v>137</v>
      </c>
      <c r="C31" s="47" t="s">
        <v>13</v>
      </c>
      <c r="D31" s="88" t="s">
        <v>235</v>
      </c>
      <c r="E31" s="88">
        <v>43</v>
      </c>
      <c r="F31" s="88">
        <v>24</v>
      </c>
      <c r="G31" s="27">
        <f t="shared" si="0"/>
        <v>67</v>
      </c>
      <c r="H31" s="29">
        <f t="shared" si="1"/>
        <v>67</v>
      </c>
      <c r="I31" s="28" t="str">
        <f t="shared" si="2"/>
        <v>FC</v>
      </c>
      <c r="J31" s="88">
        <v>50</v>
      </c>
      <c r="K31" s="88">
        <v>23</v>
      </c>
      <c r="L31" s="247">
        <f t="shared" si="3"/>
        <v>73</v>
      </c>
      <c r="M31" s="28">
        <f t="shared" si="4"/>
        <v>73</v>
      </c>
      <c r="N31" s="39" t="str">
        <f t="shared" si="5"/>
        <v>FCD</v>
      </c>
      <c r="O31" s="88">
        <v>47</v>
      </c>
      <c r="P31" s="88">
        <v>19</v>
      </c>
      <c r="Q31" s="247">
        <f t="shared" si="6"/>
        <v>66</v>
      </c>
      <c r="R31" s="28">
        <f t="shared" si="7"/>
        <v>66</v>
      </c>
      <c r="S31" s="25" t="str">
        <f t="shared" si="8"/>
        <v>FC</v>
      </c>
      <c r="T31" s="88">
        <v>83</v>
      </c>
      <c r="U31" s="88">
        <v>92</v>
      </c>
      <c r="V31" s="247">
        <f t="shared" si="9"/>
        <v>175</v>
      </c>
      <c r="W31" s="30">
        <f t="shared" si="17"/>
        <v>87.5</v>
      </c>
      <c r="X31" s="25" t="str">
        <f t="shared" si="10"/>
        <v>FCD</v>
      </c>
      <c r="Y31" s="88">
        <v>48</v>
      </c>
      <c r="Z31" s="88">
        <v>34</v>
      </c>
      <c r="AA31" s="257">
        <f t="shared" si="11"/>
        <v>82</v>
      </c>
      <c r="AB31" s="25">
        <f t="shared" si="12"/>
        <v>82</v>
      </c>
      <c r="AC31" s="25" t="str">
        <f t="shared" si="18"/>
        <v>FCD</v>
      </c>
      <c r="AD31" s="88">
        <v>42</v>
      </c>
      <c r="AE31" s="88">
        <v>23</v>
      </c>
      <c r="AF31" s="257">
        <f t="shared" si="13"/>
        <v>65</v>
      </c>
      <c r="AG31" s="25">
        <f t="shared" si="14"/>
        <v>65</v>
      </c>
      <c r="AH31" s="25" t="str">
        <f t="shared" si="15"/>
        <v>FC</v>
      </c>
      <c r="AI31" s="257">
        <f t="shared" si="19"/>
        <v>528</v>
      </c>
      <c r="AJ31" s="261">
        <f t="shared" si="20"/>
        <v>75.428571428571431</v>
      </c>
      <c r="AK31" s="262" t="str">
        <f t="shared" si="16"/>
        <v>FCD</v>
      </c>
    </row>
    <row r="32" spans="1:37" ht="15.75" x14ac:dyDescent="0.25">
      <c r="A32" s="83">
        <v>89</v>
      </c>
      <c r="B32" s="86" t="s">
        <v>138</v>
      </c>
      <c r="C32" s="47" t="s">
        <v>15</v>
      </c>
      <c r="D32" s="88" t="s">
        <v>236</v>
      </c>
      <c r="E32" s="88">
        <v>45</v>
      </c>
      <c r="F32" s="88">
        <v>23</v>
      </c>
      <c r="G32" s="27">
        <f t="shared" si="0"/>
        <v>68</v>
      </c>
      <c r="H32" s="29">
        <f t="shared" si="1"/>
        <v>68</v>
      </c>
      <c r="I32" s="28" t="str">
        <f t="shared" si="2"/>
        <v>FC</v>
      </c>
      <c r="J32" s="88">
        <v>50</v>
      </c>
      <c r="K32" s="88">
        <v>24</v>
      </c>
      <c r="L32" s="247">
        <f t="shared" si="3"/>
        <v>74</v>
      </c>
      <c r="M32" s="28">
        <f t="shared" si="4"/>
        <v>74</v>
      </c>
      <c r="N32" s="39" t="str">
        <f t="shared" si="5"/>
        <v>FCD</v>
      </c>
      <c r="O32" s="88">
        <v>41</v>
      </c>
      <c r="P32" s="88">
        <v>41</v>
      </c>
      <c r="Q32" s="247">
        <f t="shared" si="6"/>
        <v>82</v>
      </c>
      <c r="R32" s="28">
        <f t="shared" si="7"/>
        <v>82</v>
      </c>
      <c r="S32" s="25" t="str">
        <f t="shared" si="8"/>
        <v>FCD</v>
      </c>
      <c r="T32" s="88">
        <v>92</v>
      </c>
      <c r="U32" s="88">
        <v>86</v>
      </c>
      <c r="V32" s="247">
        <f t="shared" si="9"/>
        <v>178</v>
      </c>
      <c r="W32" s="30">
        <f t="shared" si="17"/>
        <v>89</v>
      </c>
      <c r="X32" s="25" t="str">
        <f t="shared" si="10"/>
        <v>FCD</v>
      </c>
      <c r="Y32" s="88">
        <v>45</v>
      </c>
      <c r="Z32" s="88">
        <v>35</v>
      </c>
      <c r="AA32" s="257">
        <f t="shared" si="11"/>
        <v>80</v>
      </c>
      <c r="AB32" s="25">
        <f t="shared" si="12"/>
        <v>80</v>
      </c>
      <c r="AC32" s="25" t="str">
        <f t="shared" si="18"/>
        <v>FCD</v>
      </c>
      <c r="AD32" s="88">
        <v>46</v>
      </c>
      <c r="AE32" s="88">
        <v>37</v>
      </c>
      <c r="AF32" s="257">
        <f t="shared" si="13"/>
        <v>83</v>
      </c>
      <c r="AG32" s="25">
        <f t="shared" si="14"/>
        <v>83</v>
      </c>
      <c r="AH32" s="25" t="str">
        <f t="shared" si="15"/>
        <v>FCD</v>
      </c>
      <c r="AI32" s="257">
        <f t="shared" si="19"/>
        <v>565</v>
      </c>
      <c r="AJ32" s="261">
        <f t="shared" si="20"/>
        <v>80.714285714285708</v>
      </c>
      <c r="AK32" s="262" t="str">
        <f t="shared" si="16"/>
        <v>FCD</v>
      </c>
    </row>
    <row r="33" spans="1:37" ht="26.25" x14ac:dyDescent="0.25">
      <c r="A33" s="83">
        <v>90</v>
      </c>
      <c r="B33" s="86" t="s">
        <v>139</v>
      </c>
      <c r="C33" s="47" t="s">
        <v>15</v>
      </c>
      <c r="D33" s="88" t="s">
        <v>237</v>
      </c>
      <c r="E33" s="88">
        <v>44</v>
      </c>
      <c r="F33" s="88">
        <v>24</v>
      </c>
      <c r="G33" s="27">
        <f t="shared" si="0"/>
        <v>68</v>
      </c>
      <c r="H33" s="29">
        <f t="shared" si="1"/>
        <v>68</v>
      </c>
      <c r="I33" s="28" t="str">
        <f t="shared" si="2"/>
        <v>FC</v>
      </c>
      <c r="J33" s="88">
        <v>47</v>
      </c>
      <c r="K33" s="88">
        <v>27</v>
      </c>
      <c r="L33" s="247">
        <f t="shared" si="3"/>
        <v>74</v>
      </c>
      <c r="M33" s="28">
        <f t="shared" si="4"/>
        <v>74</v>
      </c>
      <c r="N33" s="39" t="str">
        <f t="shared" si="5"/>
        <v>FCD</v>
      </c>
      <c r="O33" s="88">
        <v>50</v>
      </c>
      <c r="P33" s="88">
        <v>22</v>
      </c>
      <c r="Q33" s="247">
        <f t="shared" si="6"/>
        <v>72</v>
      </c>
      <c r="R33" s="28">
        <f t="shared" si="7"/>
        <v>72</v>
      </c>
      <c r="S33" s="25" t="str">
        <f t="shared" si="8"/>
        <v>FCD</v>
      </c>
      <c r="T33" s="88">
        <v>92</v>
      </c>
      <c r="U33" s="88">
        <v>90</v>
      </c>
      <c r="V33" s="247">
        <f t="shared" si="9"/>
        <v>182</v>
      </c>
      <c r="W33" s="30">
        <f t="shared" si="17"/>
        <v>91</v>
      </c>
      <c r="X33" s="25" t="str">
        <f t="shared" si="10"/>
        <v>FCD</v>
      </c>
      <c r="Y33" s="88">
        <v>50</v>
      </c>
      <c r="Z33" s="88">
        <v>36</v>
      </c>
      <c r="AA33" s="257">
        <f t="shared" si="11"/>
        <v>86</v>
      </c>
      <c r="AB33" s="25">
        <f t="shared" si="12"/>
        <v>86</v>
      </c>
      <c r="AC33" s="25" t="str">
        <f t="shared" si="18"/>
        <v>FCD</v>
      </c>
      <c r="AD33" s="88">
        <v>43</v>
      </c>
      <c r="AE33" s="88">
        <v>23</v>
      </c>
      <c r="AF33" s="257">
        <f t="shared" si="13"/>
        <v>66</v>
      </c>
      <c r="AG33" s="25">
        <f t="shared" si="14"/>
        <v>66</v>
      </c>
      <c r="AH33" s="25" t="str">
        <f t="shared" si="15"/>
        <v>FC</v>
      </c>
      <c r="AI33" s="257">
        <f t="shared" si="19"/>
        <v>548</v>
      </c>
      <c r="AJ33" s="261">
        <f t="shared" si="20"/>
        <v>78.285714285714292</v>
      </c>
      <c r="AK33" s="262" t="str">
        <f t="shared" si="16"/>
        <v>FCD</v>
      </c>
    </row>
    <row r="34" spans="1:37" ht="15.75" x14ac:dyDescent="0.25">
      <c r="A34" s="83">
        <v>91</v>
      </c>
      <c r="B34" s="86" t="s">
        <v>140</v>
      </c>
      <c r="C34" s="47" t="s">
        <v>15</v>
      </c>
      <c r="D34" s="88" t="s">
        <v>238</v>
      </c>
      <c r="E34" s="88">
        <v>42</v>
      </c>
      <c r="F34" s="88">
        <v>30</v>
      </c>
      <c r="G34" s="27">
        <f t="shared" si="0"/>
        <v>72</v>
      </c>
      <c r="H34" s="29">
        <f t="shared" si="1"/>
        <v>72</v>
      </c>
      <c r="I34" s="28" t="str">
        <f t="shared" si="2"/>
        <v>FCD</v>
      </c>
      <c r="J34" s="88">
        <v>50</v>
      </c>
      <c r="K34" s="88">
        <v>26</v>
      </c>
      <c r="L34" s="247">
        <f t="shared" si="3"/>
        <v>76</v>
      </c>
      <c r="M34" s="28">
        <f t="shared" si="4"/>
        <v>76</v>
      </c>
      <c r="N34" s="39" t="str">
        <f t="shared" si="5"/>
        <v>FCD</v>
      </c>
      <c r="O34" s="88">
        <v>44</v>
      </c>
      <c r="P34" s="88">
        <v>31</v>
      </c>
      <c r="Q34" s="247">
        <f t="shared" si="6"/>
        <v>75</v>
      </c>
      <c r="R34" s="28">
        <f t="shared" si="7"/>
        <v>75</v>
      </c>
      <c r="S34" s="25" t="str">
        <f t="shared" si="8"/>
        <v>FCD</v>
      </c>
      <c r="T34" s="88">
        <v>92</v>
      </c>
      <c r="U34" s="88">
        <v>80</v>
      </c>
      <c r="V34" s="247">
        <f t="shared" si="9"/>
        <v>172</v>
      </c>
      <c r="W34" s="30">
        <f t="shared" si="17"/>
        <v>86</v>
      </c>
      <c r="X34" s="25" t="str">
        <f t="shared" si="10"/>
        <v>FCD</v>
      </c>
      <c r="Y34" s="88">
        <v>50</v>
      </c>
      <c r="Z34" s="88">
        <v>29</v>
      </c>
      <c r="AA34" s="257">
        <f t="shared" si="11"/>
        <v>79</v>
      </c>
      <c r="AB34" s="25">
        <f t="shared" si="12"/>
        <v>79</v>
      </c>
      <c r="AC34" s="25" t="str">
        <f t="shared" si="18"/>
        <v>FCD</v>
      </c>
      <c r="AD34" s="88">
        <v>44</v>
      </c>
      <c r="AE34" s="88">
        <v>21</v>
      </c>
      <c r="AF34" s="257">
        <f t="shared" si="13"/>
        <v>65</v>
      </c>
      <c r="AG34" s="25">
        <f t="shared" si="14"/>
        <v>65</v>
      </c>
      <c r="AH34" s="25" t="str">
        <f t="shared" si="15"/>
        <v>FC</v>
      </c>
      <c r="AI34" s="257">
        <f t="shared" si="19"/>
        <v>539</v>
      </c>
      <c r="AJ34" s="261">
        <f t="shared" si="20"/>
        <v>77</v>
      </c>
      <c r="AK34" s="262" t="str">
        <f t="shared" si="16"/>
        <v>FCD</v>
      </c>
    </row>
    <row r="35" spans="1:37" ht="15.75" x14ac:dyDescent="0.25">
      <c r="A35" s="83">
        <v>92</v>
      </c>
      <c r="B35" s="86" t="s">
        <v>141</v>
      </c>
      <c r="C35" s="47" t="s">
        <v>13</v>
      </c>
      <c r="D35" s="88" t="s">
        <v>239</v>
      </c>
      <c r="E35" s="136">
        <v>40</v>
      </c>
      <c r="F35" s="136">
        <v>12</v>
      </c>
      <c r="G35" s="10">
        <f t="shared" si="0"/>
        <v>52</v>
      </c>
      <c r="H35" s="137">
        <f t="shared" si="1"/>
        <v>52</v>
      </c>
      <c r="I35" s="31" t="str">
        <f t="shared" si="2"/>
        <v>F</v>
      </c>
      <c r="J35" s="88">
        <v>49</v>
      </c>
      <c r="K35" s="88">
        <v>18</v>
      </c>
      <c r="L35" s="247">
        <f t="shared" si="3"/>
        <v>67</v>
      </c>
      <c r="M35" s="28">
        <f t="shared" si="4"/>
        <v>67</v>
      </c>
      <c r="N35" s="39" t="str">
        <f t="shared" si="5"/>
        <v>FC</v>
      </c>
      <c r="O35" s="88">
        <v>35</v>
      </c>
      <c r="P35" s="88">
        <v>18</v>
      </c>
      <c r="Q35" s="247">
        <f t="shared" si="6"/>
        <v>53</v>
      </c>
      <c r="R35" s="28">
        <f t="shared" si="7"/>
        <v>53</v>
      </c>
      <c r="S35" s="25" t="str">
        <f t="shared" si="8"/>
        <v>SC</v>
      </c>
      <c r="T35" s="88">
        <v>84</v>
      </c>
      <c r="U35" s="88">
        <v>86</v>
      </c>
      <c r="V35" s="247">
        <f t="shared" si="9"/>
        <v>170</v>
      </c>
      <c r="W35" s="30">
        <f t="shared" si="17"/>
        <v>85</v>
      </c>
      <c r="X35" s="25" t="str">
        <f t="shared" si="10"/>
        <v>FCD</v>
      </c>
      <c r="Y35" s="88">
        <v>47</v>
      </c>
      <c r="Z35" s="88">
        <v>30</v>
      </c>
      <c r="AA35" s="257">
        <f t="shared" si="11"/>
        <v>77</v>
      </c>
      <c r="AB35" s="25">
        <f t="shared" si="12"/>
        <v>77</v>
      </c>
      <c r="AC35" s="25" t="str">
        <f t="shared" si="18"/>
        <v>FCD</v>
      </c>
      <c r="AD35" s="88">
        <v>37</v>
      </c>
      <c r="AE35" s="88">
        <v>23</v>
      </c>
      <c r="AF35" s="257">
        <f t="shared" si="13"/>
        <v>60</v>
      </c>
      <c r="AG35" s="25">
        <f t="shared" si="14"/>
        <v>60</v>
      </c>
      <c r="AH35" s="25" t="str">
        <f t="shared" si="15"/>
        <v>FC</v>
      </c>
      <c r="AI35" s="257">
        <f t="shared" si="19"/>
        <v>479</v>
      </c>
      <c r="AJ35" s="261">
        <f t="shared" si="20"/>
        <v>68.428571428571431</v>
      </c>
      <c r="AK35" s="266" t="s">
        <v>322</v>
      </c>
    </row>
    <row r="36" spans="1:37" ht="15.75" x14ac:dyDescent="0.25">
      <c r="A36" s="83">
        <v>93</v>
      </c>
      <c r="B36" s="86" t="s">
        <v>142</v>
      </c>
      <c r="C36" s="47" t="s">
        <v>15</v>
      </c>
      <c r="D36" s="88" t="s">
        <v>240</v>
      </c>
      <c r="E36" s="136">
        <v>43</v>
      </c>
      <c r="F36" s="136">
        <v>12</v>
      </c>
      <c r="G36" s="10">
        <f t="shared" si="0"/>
        <v>55</v>
      </c>
      <c r="H36" s="137">
        <f t="shared" si="1"/>
        <v>55</v>
      </c>
      <c r="I36" s="31" t="str">
        <f t="shared" si="2"/>
        <v>F</v>
      </c>
      <c r="J36" s="88">
        <v>47</v>
      </c>
      <c r="K36" s="88">
        <v>23</v>
      </c>
      <c r="L36" s="250">
        <f t="shared" si="3"/>
        <v>70</v>
      </c>
      <c r="M36" s="28">
        <f t="shared" si="4"/>
        <v>70</v>
      </c>
      <c r="N36" s="39" t="str">
        <f t="shared" si="5"/>
        <v>FCD</v>
      </c>
      <c r="O36" s="88">
        <v>32</v>
      </c>
      <c r="P36" s="88">
        <v>18</v>
      </c>
      <c r="Q36" s="247">
        <f t="shared" si="6"/>
        <v>50</v>
      </c>
      <c r="R36" s="28">
        <f t="shared" si="7"/>
        <v>50</v>
      </c>
      <c r="S36" s="25" t="str">
        <f t="shared" si="8"/>
        <v>SC</v>
      </c>
      <c r="T36" s="88">
        <v>90</v>
      </c>
      <c r="U36" s="88">
        <v>80</v>
      </c>
      <c r="V36" s="247">
        <f t="shared" si="9"/>
        <v>170</v>
      </c>
      <c r="W36" s="30">
        <f t="shared" si="17"/>
        <v>85</v>
      </c>
      <c r="X36" s="25" t="str">
        <f t="shared" si="10"/>
        <v>FCD</v>
      </c>
      <c r="Y36" s="88">
        <v>40</v>
      </c>
      <c r="Z36" s="88">
        <v>26</v>
      </c>
      <c r="AA36" s="257">
        <f t="shared" si="11"/>
        <v>66</v>
      </c>
      <c r="AB36" s="25">
        <f t="shared" si="12"/>
        <v>66</v>
      </c>
      <c r="AC36" s="25" t="str">
        <f t="shared" si="18"/>
        <v>FC</v>
      </c>
      <c r="AD36" s="88">
        <v>40</v>
      </c>
      <c r="AE36" s="88">
        <v>26</v>
      </c>
      <c r="AF36" s="257">
        <f t="shared" si="13"/>
        <v>66</v>
      </c>
      <c r="AG36" s="25">
        <f t="shared" si="14"/>
        <v>66</v>
      </c>
      <c r="AH36" s="25" t="str">
        <f t="shared" si="15"/>
        <v>FC</v>
      </c>
      <c r="AI36" s="257">
        <f t="shared" si="19"/>
        <v>477</v>
      </c>
      <c r="AJ36" s="261">
        <f t="shared" si="20"/>
        <v>68.142857142857139</v>
      </c>
      <c r="AK36" s="266" t="s">
        <v>322</v>
      </c>
    </row>
    <row r="37" spans="1:37" ht="15.75" x14ac:dyDescent="0.25">
      <c r="A37" s="83">
        <v>94</v>
      </c>
      <c r="B37" s="86" t="s">
        <v>143</v>
      </c>
      <c r="C37" s="47" t="s">
        <v>13</v>
      </c>
      <c r="D37" s="88" t="s">
        <v>241</v>
      </c>
      <c r="E37" s="88">
        <v>41</v>
      </c>
      <c r="F37" s="88">
        <v>24</v>
      </c>
      <c r="G37" s="10">
        <f t="shared" si="0"/>
        <v>65</v>
      </c>
      <c r="H37" s="29">
        <f t="shared" si="1"/>
        <v>65</v>
      </c>
      <c r="I37" s="28" t="str">
        <f t="shared" si="2"/>
        <v>FC</v>
      </c>
      <c r="J37" s="88">
        <v>50</v>
      </c>
      <c r="K37" s="88">
        <v>20</v>
      </c>
      <c r="L37" s="250">
        <f t="shared" si="3"/>
        <v>70</v>
      </c>
      <c r="M37" s="28">
        <f t="shared" si="4"/>
        <v>70</v>
      </c>
      <c r="N37" s="39" t="str">
        <f t="shared" si="5"/>
        <v>FCD</v>
      </c>
      <c r="O37" s="88">
        <v>42</v>
      </c>
      <c r="P37" s="88">
        <v>18</v>
      </c>
      <c r="Q37" s="250">
        <f t="shared" si="6"/>
        <v>60</v>
      </c>
      <c r="R37" s="28">
        <f t="shared" si="7"/>
        <v>60</v>
      </c>
      <c r="S37" s="25" t="str">
        <f t="shared" si="8"/>
        <v>FC</v>
      </c>
      <c r="T37" s="88">
        <v>92</v>
      </c>
      <c r="U37" s="88">
        <v>89</v>
      </c>
      <c r="V37" s="247">
        <f t="shared" si="9"/>
        <v>181</v>
      </c>
      <c r="W37" s="30">
        <f t="shared" si="17"/>
        <v>90.5</v>
      </c>
      <c r="X37" s="25" t="str">
        <f t="shared" si="10"/>
        <v>FCD</v>
      </c>
      <c r="Y37" s="88">
        <v>50</v>
      </c>
      <c r="Z37" s="88">
        <v>30</v>
      </c>
      <c r="AA37" s="270">
        <f t="shared" si="11"/>
        <v>80</v>
      </c>
      <c r="AB37" s="25">
        <f t="shared" si="12"/>
        <v>80</v>
      </c>
      <c r="AC37" s="25" t="str">
        <f t="shared" si="18"/>
        <v>FCD</v>
      </c>
      <c r="AD37" s="88">
        <v>41</v>
      </c>
      <c r="AE37" s="88">
        <v>31</v>
      </c>
      <c r="AF37" s="270">
        <f t="shared" si="13"/>
        <v>72</v>
      </c>
      <c r="AG37" s="25">
        <f t="shared" si="14"/>
        <v>72</v>
      </c>
      <c r="AH37" s="25" t="str">
        <f t="shared" si="15"/>
        <v>FCD</v>
      </c>
      <c r="AI37" s="257">
        <f t="shared" si="19"/>
        <v>528</v>
      </c>
      <c r="AJ37" s="261">
        <f t="shared" si="20"/>
        <v>75.428571428571431</v>
      </c>
      <c r="AK37" s="262" t="str">
        <f t="shared" si="16"/>
        <v>FCD</v>
      </c>
    </row>
    <row r="38" spans="1:37" ht="15.75" x14ac:dyDescent="0.25">
      <c r="A38" s="83">
        <v>95</v>
      </c>
      <c r="B38" s="86" t="s">
        <v>144</v>
      </c>
      <c r="C38" s="47" t="s">
        <v>15</v>
      </c>
      <c r="D38" s="88" t="s">
        <v>242</v>
      </c>
      <c r="E38" s="88">
        <v>41</v>
      </c>
      <c r="F38" s="88">
        <v>25</v>
      </c>
      <c r="G38" s="27">
        <f t="shared" si="0"/>
        <v>66</v>
      </c>
      <c r="H38" s="29">
        <f t="shared" si="1"/>
        <v>66</v>
      </c>
      <c r="I38" s="28" t="str">
        <f t="shared" si="2"/>
        <v>FC</v>
      </c>
      <c r="J38" s="88">
        <v>46</v>
      </c>
      <c r="K38" s="88">
        <v>20</v>
      </c>
      <c r="L38" s="247">
        <f t="shared" si="3"/>
        <v>66</v>
      </c>
      <c r="M38" s="28">
        <f t="shared" si="4"/>
        <v>66</v>
      </c>
      <c r="N38" s="39" t="str">
        <f t="shared" si="5"/>
        <v>FC</v>
      </c>
      <c r="O38" s="88">
        <v>39</v>
      </c>
      <c r="P38" s="88">
        <v>22</v>
      </c>
      <c r="Q38" s="247">
        <f t="shared" si="6"/>
        <v>61</v>
      </c>
      <c r="R38" s="28">
        <f t="shared" si="7"/>
        <v>61</v>
      </c>
      <c r="S38" s="25" t="str">
        <f t="shared" si="8"/>
        <v>FC</v>
      </c>
      <c r="T38" s="88">
        <v>91</v>
      </c>
      <c r="U38" s="88">
        <v>88</v>
      </c>
      <c r="V38" s="247">
        <f t="shared" si="9"/>
        <v>179</v>
      </c>
      <c r="W38" s="30">
        <f t="shared" si="17"/>
        <v>89.5</v>
      </c>
      <c r="X38" s="25" t="str">
        <f t="shared" si="10"/>
        <v>FCD</v>
      </c>
      <c r="Y38" s="88">
        <v>47</v>
      </c>
      <c r="Z38" s="88">
        <v>35</v>
      </c>
      <c r="AA38" s="257">
        <f t="shared" si="11"/>
        <v>82</v>
      </c>
      <c r="AB38" s="25">
        <f t="shared" si="12"/>
        <v>82</v>
      </c>
      <c r="AC38" s="25" t="str">
        <f t="shared" si="18"/>
        <v>FCD</v>
      </c>
      <c r="AD38" s="88">
        <v>42</v>
      </c>
      <c r="AE38" s="88">
        <v>37</v>
      </c>
      <c r="AF38" s="257">
        <f t="shared" si="13"/>
        <v>79</v>
      </c>
      <c r="AG38" s="25">
        <f t="shared" si="14"/>
        <v>79</v>
      </c>
      <c r="AH38" s="25" t="str">
        <f t="shared" si="15"/>
        <v>FCD</v>
      </c>
      <c r="AI38" s="257">
        <f t="shared" si="19"/>
        <v>533</v>
      </c>
      <c r="AJ38" s="261">
        <f t="shared" si="20"/>
        <v>76.142857142857139</v>
      </c>
      <c r="AK38" s="262" t="str">
        <f t="shared" si="16"/>
        <v>FCD</v>
      </c>
    </row>
    <row r="39" spans="1:37" ht="15.75" x14ac:dyDescent="0.25">
      <c r="A39" s="83">
        <v>96</v>
      </c>
      <c r="B39" s="86" t="s">
        <v>145</v>
      </c>
      <c r="C39" s="47" t="s">
        <v>13</v>
      </c>
      <c r="D39" s="88" t="s">
        <v>243</v>
      </c>
      <c r="E39" s="88">
        <v>41</v>
      </c>
      <c r="F39" s="88">
        <v>33</v>
      </c>
      <c r="G39" s="27">
        <f t="shared" si="0"/>
        <v>74</v>
      </c>
      <c r="H39" s="29">
        <f t="shared" si="1"/>
        <v>74</v>
      </c>
      <c r="I39" s="28" t="str">
        <f t="shared" si="2"/>
        <v>FCD</v>
      </c>
      <c r="J39" s="88">
        <v>49</v>
      </c>
      <c r="K39" s="88">
        <v>37</v>
      </c>
      <c r="L39" s="247">
        <f t="shared" si="3"/>
        <v>86</v>
      </c>
      <c r="M39" s="28">
        <f t="shared" si="4"/>
        <v>86</v>
      </c>
      <c r="N39" s="39" t="str">
        <f t="shared" si="5"/>
        <v>FCD</v>
      </c>
      <c r="O39" s="88">
        <v>42</v>
      </c>
      <c r="P39" s="88">
        <v>38</v>
      </c>
      <c r="Q39" s="247">
        <f t="shared" si="6"/>
        <v>80</v>
      </c>
      <c r="R39" s="28">
        <f t="shared" si="7"/>
        <v>80</v>
      </c>
      <c r="S39" s="25" t="str">
        <f t="shared" si="8"/>
        <v>FCD</v>
      </c>
      <c r="T39" s="88">
        <v>92</v>
      </c>
      <c r="U39" s="88">
        <v>86</v>
      </c>
      <c r="V39" s="247">
        <f t="shared" si="9"/>
        <v>178</v>
      </c>
      <c r="W39" s="30">
        <f t="shared" si="17"/>
        <v>89</v>
      </c>
      <c r="X39" s="25" t="str">
        <f t="shared" si="10"/>
        <v>FCD</v>
      </c>
      <c r="Y39" s="88">
        <v>46</v>
      </c>
      <c r="Z39" s="88">
        <v>36</v>
      </c>
      <c r="AA39" s="257">
        <f t="shared" si="11"/>
        <v>82</v>
      </c>
      <c r="AB39" s="25">
        <f t="shared" si="12"/>
        <v>82</v>
      </c>
      <c r="AC39" s="25" t="str">
        <f t="shared" si="18"/>
        <v>FCD</v>
      </c>
      <c r="AD39" s="88">
        <v>45</v>
      </c>
      <c r="AE39" s="88">
        <v>32</v>
      </c>
      <c r="AF39" s="257">
        <f t="shared" si="13"/>
        <v>77</v>
      </c>
      <c r="AG39" s="25">
        <f t="shared" si="14"/>
        <v>77</v>
      </c>
      <c r="AH39" s="25" t="str">
        <f t="shared" si="15"/>
        <v>FCD</v>
      </c>
      <c r="AI39" s="257">
        <f t="shared" si="19"/>
        <v>577</v>
      </c>
      <c r="AJ39" s="261">
        <f t="shared" si="20"/>
        <v>82.428571428571431</v>
      </c>
      <c r="AK39" s="262" t="str">
        <f t="shared" si="16"/>
        <v>FCD</v>
      </c>
    </row>
    <row r="40" spans="1:37" ht="15.75" x14ac:dyDescent="0.25">
      <c r="A40" s="83">
        <v>97</v>
      </c>
      <c r="B40" s="86" t="s">
        <v>146</v>
      </c>
      <c r="C40" s="47" t="s">
        <v>15</v>
      </c>
      <c r="D40" s="88" t="s">
        <v>244</v>
      </c>
      <c r="E40" s="88">
        <v>40</v>
      </c>
      <c r="F40" s="88">
        <v>30</v>
      </c>
      <c r="G40" s="27">
        <f t="shared" si="0"/>
        <v>70</v>
      </c>
      <c r="H40" s="29">
        <f t="shared" si="1"/>
        <v>70</v>
      </c>
      <c r="I40" s="28" t="str">
        <f t="shared" si="2"/>
        <v>FCD</v>
      </c>
      <c r="J40" s="88">
        <v>47</v>
      </c>
      <c r="K40" s="88">
        <v>28</v>
      </c>
      <c r="L40" s="247">
        <f t="shared" si="3"/>
        <v>75</v>
      </c>
      <c r="M40" s="28">
        <f t="shared" si="4"/>
        <v>75</v>
      </c>
      <c r="N40" s="39" t="str">
        <f t="shared" si="5"/>
        <v>FCD</v>
      </c>
      <c r="O40" s="88">
        <v>42</v>
      </c>
      <c r="P40" s="88">
        <v>33</v>
      </c>
      <c r="Q40" s="247">
        <f t="shared" si="6"/>
        <v>75</v>
      </c>
      <c r="R40" s="28">
        <f t="shared" si="7"/>
        <v>75</v>
      </c>
      <c r="S40" s="25" t="str">
        <f t="shared" si="8"/>
        <v>FCD</v>
      </c>
      <c r="T40" s="88">
        <v>84</v>
      </c>
      <c r="U40" s="88">
        <v>87</v>
      </c>
      <c r="V40" s="247">
        <f t="shared" si="9"/>
        <v>171</v>
      </c>
      <c r="W40" s="30">
        <f t="shared" si="17"/>
        <v>85.5</v>
      </c>
      <c r="X40" s="25" t="str">
        <f t="shared" si="10"/>
        <v>FCD</v>
      </c>
      <c r="Y40" s="88">
        <v>44</v>
      </c>
      <c r="Z40" s="88">
        <v>37</v>
      </c>
      <c r="AA40" s="257">
        <f t="shared" si="11"/>
        <v>81</v>
      </c>
      <c r="AB40" s="25">
        <f t="shared" si="12"/>
        <v>81</v>
      </c>
      <c r="AC40" s="25" t="str">
        <f t="shared" si="18"/>
        <v>FCD</v>
      </c>
      <c r="AD40" s="88">
        <v>45</v>
      </c>
      <c r="AE40" s="88">
        <v>32</v>
      </c>
      <c r="AF40" s="257">
        <f t="shared" si="13"/>
        <v>77</v>
      </c>
      <c r="AG40" s="25">
        <f t="shared" si="14"/>
        <v>77</v>
      </c>
      <c r="AH40" s="25" t="str">
        <f t="shared" si="15"/>
        <v>FCD</v>
      </c>
      <c r="AI40" s="257">
        <f t="shared" si="19"/>
        <v>549</v>
      </c>
      <c r="AJ40" s="261">
        <f t="shared" si="20"/>
        <v>78.428571428571431</v>
      </c>
      <c r="AK40" s="262" t="str">
        <f t="shared" si="16"/>
        <v>FCD</v>
      </c>
    </row>
    <row r="41" spans="1:37" ht="15.75" x14ac:dyDescent="0.25">
      <c r="A41" s="83">
        <v>98</v>
      </c>
      <c r="B41" s="86" t="s">
        <v>147</v>
      </c>
      <c r="C41" s="47" t="s">
        <v>15</v>
      </c>
      <c r="D41" s="88" t="s">
        <v>245</v>
      </c>
      <c r="E41" s="88">
        <v>43</v>
      </c>
      <c r="F41" s="88">
        <v>25</v>
      </c>
      <c r="G41" s="27">
        <f t="shared" si="0"/>
        <v>68</v>
      </c>
      <c r="H41" s="29">
        <f t="shared" si="1"/>
        <v>68</v>
      </c>
      <c r="I41" s="28" t="str">
        <f t="shared" si="2"/>
        <v>FC</v>
      </c>
      <c r="J41" s="88">
        <v>48</v>
      </c>
      <c r="K41" s="88">
        <v>35</v>
      </c>
      <c r="L41" s="247">
        <f t="shared" si="3"/>
        <v>83</v>
      </c>
      <c r="M41" s="28">
        <f t="shared" si="4"/>
        <v>83</v>
      </c>
      <c r="N41" s="39" t="str">
        <f t="shared" si="5"/>
        <v>FCD</v>
      </c>
      <c r="O41" s="88">
        <v>41</v>
      </c>
      <c r="P41" s="88">
        <v>29</v>
      </c>
      <c r="Q41" s="247">
        <f t="shared" si="6"/>
        <v>70</v>
      </c>
      <c r="R41" s="28">
        <f t="shared" si="7"/>
        <v>70</v>
      </c>
      <c r="S41" s="25" t="str">
        <f t="shared" si="8"/>
        <v>FCD</v>
      </c>
      <c r="T41" s="88">
        <v>91</v>
      </c>
      <c r="U41" s="88">
        <v>88</v>
      </c>
      <c r="V41" s="247">
        <f t="shared" si="9"/>
        <v>179</v>
      </c>
      <c r="W41" s="30">
        <f t="shared" si="17"/>
        <v>89.5</v>
      </c>
      <c r="X41" s="25" t="str">
        <f t="shared" si="10"/>
        <v>FCD</v>
      </c>
      <c r="Y41" s="88">
        <v>45</v>
      </c>
      <c r="Z41" s="88">
        <v>36</v>
      </c>
      <c r="AA41" s="257">
        <f t="shared" si="11"/>
        <v>81</v>
      </c>
      <c r="AB41" s="25">
        <f t="shared" si="12"/>
        <v>81</v>
      </c>
      <c r="AC41" s="25" t="str">
        <f t="shared" si="18"/>
        <v>FCD</v>
      </c>
      <c r="AD41" s="88">
        <v>44</v>
      </c>
      <c r="AE41" s="88">
        <v>33</v>
      </c>
      <c r="AF41" s="257">
        <f t="shared" si="13"/>
        <v>77</v>
      </c>
      <c r="AG41" s="25">
        <f t="shared" si="14"/>
        <v>77</v>
      </c>
      <c r="AH41" s="25" t="str">
        <f t="shared" si="15"/>
        <v>FCD</v>
      </c>
      <c r="AI41" s="257">
        <f t="shared" si="19"/>
        <v>558</v>
      </c>
      <c r="AJ41" s="261">
        <f t="shared" si="20"/>
        <v>79.714285714285708</v>
      </c>
      <c r="AK41" s="262" t="str">
        <f t="shared" si="16"/>
        <v>FCD</v>
      </c>
    </row>
    <row r="42" spans="1:37" ht="15.75" x14ac:dyDescent="0.25">
      <c r="A42" s="83">
        <v>99</v>
      </c>
      <c r="B42" s="86" t="s">
        <v>148</v>
      </c>
      <c r="C42" s="47" t="s">
        <v>15</v>
      </c>
      <c r="D42" s="88" t="s">
        <v>246</v>
      </c>
      <c r="E42" s="88">
        <v>44</v>
      </c>
      <c r="F42" s="88">
        <v>25</v>
      </c>
      <c r="G42" s="27">
        <f t="shared" si="0"/>
        <v>69</v>
      </c>
      <c r="H42" s="29">
        <f t="shared" si="1"/>
        <v>69</v>
      </c>
      <c r="I42" s="28" t="str">
        <f t="shared" si="2"/>
        <v>FC</v>
      </c>
      <c r="J42" s="88">
        <v>48</v>
      </c>
      <c r="K42" s="88">
        <v>18</v>
      </c>
      <c r="L42" s="247">
        <f t="shared" si="3"/>
        <v>66</v>
      </c>
      <c r="M42" s="28">
        <f t="shared" si="4"/>
        <v>66</v>
      </c>
      <c r="N42" s="39" t="str">
        <f t="shared" si="5"/>
        <v>FC</v>
      </c>
      <c r="O42" s="88">
        <v>50</v>
      </c>
      <c r="P42" s="88">
        <v>34</v>
      </c>
      <c r="Q42" s="247">
        <f t="shared" si="6"/>
        <v>84</v>
      </c>
      <c r="R42" s="28">
        <f t="shared" si="7"/>
        <v>84</v>
      </c>
      <c r="S42" s="25" t="str">
        <f t="shared" si="8"/>
        <v>FCD</v>
      </c>
      <c r="T42" s="88">
        <v>97</v>
      </c>
      <c r="U42" s="88">
        <v>93</v>
      </c>
      <c r="V42" s="247">
        <f t="shared" si="9"/>
        <v>190</v>
      </c>
      <c r="W42" s="30">
        <f t="shared" si="17"/>
        <v>95</v>
      </c>
      <c r="X42" s="25" t="str">
        <f t="shared" si="10"/>
        <v>FCD</v>
      </c>
      <c r="Y42" s="88">
        <v>50</v>
      </c>
      <c r="Z42" s="88">
        <v>38</v>
      </c>
      <c r="AA42" s="257">
        <f t="shared" si="11"/>
        <v>88</v>
      </c>
      <c r="AB42" s="25">
        <f t="shared" si="12"/>
        <v>88</v>
      </c>
      <c r="AC42" s="25" t="str">
        <f t="shared" si="18"/>
        <v>FCD</v>
      </c>
      <c r="AD42" s="88">
        <v>46</v>
      </c>
      <c r="AE42" s="88">
        <v>34</v>
      </c>
      <c r="AF42" s="257">
        <f t="shared" si="13"/>
        <v>80</v>
      </c>
      <c r="AG42" s="25">
        <f t="shared" si="14"/>
        <v>80</v>
      </c>
      <c r="AH42" s="25" t="str">
        <f t="shared" si="15"/>
        <v>FCD</v>
      </c>
      <c r="AI42" s="257">
        <f t="shared" si="19"/>
        <v>577</v>
      </c>
      <c r="AJ42" s="261">
        <f t="shared" si="20"/>
        <v>82.428571428571431</v>
      </c>
      <c r="AK42" s="262" t="str">
        <f t="shared" si="16"/>
        <v>FCD</v>
      </c>
    </row>
  </sheetData>
  <autoFilter ref="A10:AK42"/>
  <mergeCells count="8">
    <mergeCell ref="AJ8:AJ10"/>
    <mergeCell ref="AK8:AK10"/>
    <mergeCell ref="A1:J1"/>
    <mergeCell ref="A2:J2"/>
    <mergeCell ref="A3:J3"/>
    <mergeCell ref="A5:D5"/>
    <mergeCell ref="E5:F5"/>
    <mergeCell ref="G5:M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T75"/>
  <sheetViews>
    <sheetView topLeftCell="F1" zoomScale="60" zoomScaleNormal="60" workbookViewId="0">
      <selection activeCell="AI16" sqref="AI16:AK33"/>
    </sheetView>
  </sheetViews>
  <sheetFormatPr defaultRowHeight="15.95" customHeight="1" x14ac:dyDescent="0.25"/>
  <cols>
    <col min="1" max="1" width="9.140625" style="9"/>
    <col min="2" max="2" width="30.85546875" style="9" customWidth="1"/>
    <col min="3" max="3" width="6.140625" style="9" customWidth="1"/>
    <col min="4" max="4" width="15" style="9" customWidth="1"/>
    <col min="5" max="5" width="5.5703125" style="14" customWidth="1"/>
    <col min="6" max="6" width="4.85546875" style="14" customWidth="1"/>
    <col min="7" max="7" width="6.140625" style="9" customWidth="1"/>
    <col min="8" max="8" width="6.7109375" style="9" customWidth="1"/>
    <col min="9" max="9" width="5.28515625" style="9" customWidth="1"/>
    <col min="10" max="10" width="6.28515625" style="14" customWidth="1"/>
    <col min="11" max="11" width="6.7109375" style="14" customWidth="1"/>
    <col min="12" max="12" width="6.85546875" style="9" customWidth="1"/>
    <col min="13" max="14" width="6.5703125" style="9" customWidth="1"/>
    <col min="15" max="15" width="6.28515625" style="14" customWidth="1"/>
    <col min="16" max="16" width="6.7109375" style="14" customWidth="1"/>
    <col min="17" max="17" width="5.85546875" style="9" customWidth="1"/>
    <col min="18" max="18" width="5.7109375" style="9" customWidth="1"/>
    <col min="19" max="19" width="5.85546875" style="9" customWidth="1"/>
    <col min="20" max="20" width="6.140625" style="9" customWidth="1"/>
    <col min="21" max="21" width="6.42578125" style="9" customWidth="1"/>
    <col min="22" max="22" width="7.140625" style="9" customWidth="1"/>
    <col min="23" max="23" width="6.5703125" style="9" customWidth="1"/>
    <col min="24" max="24" width="6.85546875" style="9" customWidth="1"/>
    <col min="25" max="26" width="7.42578125" style="9" customWidth="1"/>
    <col min="27" max="27" width="7.7109375" style="9" customWidth="1"/>
    <col min="28" max="28" width="8.28515625" style="9" customWidth="1"/>
    <col min="29" max="35" width="9.140625" style="9"/>
    <col min="36" max="36" width="9.140625" style="9" customWidth="1"/>
    <col min="37" max="16384" width="9.140625" style="9"/>
  </cols>
  <sheetData>
    <row r="1" spans="1:46" ht="15.95" customHeight="1" x14ac:dyDescent="0.25">
      <c r="A1" s="225" t="s">
        <v>0</v>
      </c>
      <c r="B1" s="226"/>
      <c r="C1" s="226"/>
      <c r="D1" s="226"/>
      <c r="E1" s="226"/>
      <c r="F1" s="226"/>
      <c r="G1" s="226"/>
      <c r="H1" s="226"/>
      <c r="I1" s="226"/>
      <c r="J1" s="226"/>
      <c r="K1" s="8"/>
      <c r="L1" s="8"/>
      <c r="M1" s="5"/>
      <c r="N1" s="5"/>
      <c r="O1" s="8"/>
      <c r="P1" s="8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spans="1:46" ht="15.95" customHeight="1" x14ac:dyDescent="0.25">
      <c r="A2" s="227" t="s">
        <v>1</v>
      </c>
      <c r="B2" s="228"/>
      <c r="C2" s="228"/>
      <c r="D2" s="228"/>
      <c r="E2" s="228"/>
      <c r="F2" s="228"/>
      <c r="G2" s="228"/>
      <c r="H2" s="228"/>
      <c r="I2" s="228"/>
      <c r="J2" s="228"/>
    </row>
    <row r="3" spans="1:46" ht="15.95" customHeight="1" x14ac:dyDescent="0.25">
      <c r="A3" s="229" t="s">
        <v>315</v>
      </c>
      <c r="B3" s="230"/>
      <c r="C3" s="230"/>
      <c r="D3" s="230"/>
      <c r="E3" s="230"/>
      <c r="F3" s="230"/>
      <c r="G3" s="230"/>
      <c r="H3" s="230"/>
      <c r="I3" s="230"/>
      <c r="J3" s="230"/>
    </row>
    <row r="4" spans="1:46" ht="15.95" customHeight="1" x14ac:dyDescent="0.25">
      <c r="A4" s="6"/>
      <c r="B4" s="3"/>
      <c r="C4" s="42"/>
      <c r="D4" s="3"/>
      <c r="E4" s="3"/>
      <c r="F4" s="3"/>
      <c r="G4" s="3"/>
      <c r="H4" s="3"/>
      <c r="I4" s="3"/>
      <c r="J4" s="3"/>
    </row>
    <row r="5" spans="1:46" ht="15.95" customHeight="1" x14ac:dyDescent="0.25">
      <c r="A5" s="231" t="s">
        <v>49</v>
      </c>
      <c r="B5" s="232"/>
      <c r="C5" s="232"/>
      <c r="D5" s="232"/>
      <c r="E5" s="233" t="s">
        <v>2</v>
      </c>
      <c r="F5" s="233"/>
      <c r="G5" s="234"/>
      <c r="H5" s="234"/>
      <c r="I5" s="234"/>
      <c r="J5" s="234"/>
      <c r="K5" s="234"/>
      <c r="L5" s="234"/>
      <c r="M5" s="234"/>
    </row>
    <row r="6" spans="1:46" ht="15.95" customHeight="1" x14ac:dyDescent="0.25">
      <c r="A6" s="7"/>
      <c r="B6" s="2"/>
      <c r="C6" s="43"/>
      <c r="D6" s="2"/>
      <c r="E6" s="15"/>
    </row>
    <row r="7" spans="1:46" ht="15.95" customHeight="1" x14ac:dyDescent="0.25">
      <c r="A7" s="7"/>
      <c r="B7" s="2"/>
      <c r="C7" s="43"/>
      <c r="D7" s="2"/>
      <c r="E7" s="15"/>
    </row>
    <row r="8" spans="1:46" ht="15.95" customHeight="1" x14ac:dyDescent="0.25">
      <c r="A8" s="45" t="s">
        <v>3</v>
      </c>
      <c r="B8" s="45" t="s">
        <v>4</v>
      </c>
      <c r="C8" s="45" t="s">
        <v>14</v>
      </c>
      <c r="D8" s="45" t="s">
        <v>5</v>
      </c>
      <c r="E8" s="237" t="s">
        <v>247</v>
      </c>
      <c r="F8" s="238"/>
      <c r="G8" s="238"/>
      <c r="H8" s="238"/>
      <c r="I8" s="239"/>
      <c r="J8" s="44" t="s">
        <v>320</v>
      </c>
      <c r="K8" s="44"/>
      <c r="L8" s="44"/>
      <c r="M8" s="44"/>
      <c r="N8" s="44"/>
      <c r="O8" s="44" t="s">
        <v>316</v>
      </c>
      <c r="P8" s="44"/>
      <c r="Q8" s="44"/>
      <c r="R8" s="44"/>
      <c r="S8" s="44"/>
      <c r="T8" s="44" t="s">
        <v>321</v>
      </c>
      <c r="U8" s="44"/>
      <c r="V8" s="44"/>
      <c r="W8" s="44"/>
      <c r="X8" s="44"/>
      <c r="Y8" s="44" t="s">
        <v>318</v>
      </c>
      <c r="Z8" s="44"/>
      <c r="AA8" s="44"/>
      <c r="AB8" s="44"/>
      <c r="AC8" s="44"/>
      <c r="AD8" s="44" t="s">
        <v>319</v>
      </c>
      <c r="AE8" s="44"/>
      <c r="AF8" s="44"/>
      <c r="AG8" s="44"/>
      <c r="AH8" s="44"/>
      <c r="AI8" s="44"/>
      <c r="AJ8" s="223" t="s">
        <v>6</v>
      </c>
      <c r="AK8" s="224" t="s">
        <v>7</v>
      </c>
      <c r="AS8" s="4"/>
    </row>
    <row r="9" spans="1:46" ht="15.95" customHeight="1" x14ac:dyDescent="0.25">
      <c r="A9" s="45"/>
      <c r="B9" s="45"/>
      <c r="C9" s="45"/>
      <c r="D9" s="45"/>
      <c r="E9" s="240"/>
      <c r="F9" s="241"/>
      <c r="G9" s="241"/>
      <c r="H9" s="241"/>
      <c r="I9" s="242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223"/>
      <c r="AK9" s="224"/>
      <c r="AS9" s="4"/>
    </row>
    <row r="10" spans="1:46" ht="15.95" customHeight="1" x14ac:dyDescent="0.25">
      <c r="A10" s="84"/>
      <c r="B10" s="84"/>
      <c r="C10" s="84"/>
      <c r="D10" s="84"/>
      <c r="E10" s="123" t="s">
        <v>8</v>
      </c>
      <c r="F10" s="123" t="s">
        <v>9</v>
      </c>
      <c r="G10" s="123" t="s">
        <v>10</v>
      </c>
      <c r="H10" s="123" t="s">
        <v>11</v>
      </c>
      <c r="I10" s="85" t="s">
        <v>12</v>
      </c>
      <c r="J10" s="123" t="s">
        <v>8</v>
      </c>
      <c r="K10" s="123" t="s">
        <v>9</v>
      </c>
      <c r="L10" s="123" t="s">
        <v>10</v>
      </c>
      <c r="M10" s="123" t="s">
        <v>11</v>
      </c>
      <c r="N10" s="85" t="s">
        <v>12</v>
      </c>
      <c r="O10" s="123" t="s">
        <v>8</v>
      </c>
      <c r="P10" s="123" t="s">
        <v>9</v>
      </c>
      <c r="Q10" s="123" t="s">
        <v>10</v>
      </c>
      <c r="R10" s="123" t="s">
        <v>11</v>
      </c>
      <c r="S10" s="123" t="s">
        <v>12</v>
      </c>
      <c r="T10" s="123" t="s">
        <v>8</v>
      </c>
      <c r="U10" s="123" t="s">
        <v>9</v>
      </c>
      <c r="V10" s="123" t="s">
        <v>10</v>
      </c>
      <c r="W10" s="123" t="s">
        <v>11</v>
      </c>
      <c r="X10" s="123" t="s">
        <v>12</v>
      </c>
      <c r="Y10" s="123" t="s">
        <v>8</v>
      </c>
      <c r="Z10" s="123" t="s">
        <v>9</v>
      </c>
      <c r="AA10" s="123" t="s">
        <v>10</v>
      </c>
      <c r="AB10" s="123" t="s">
        <v>11</v>
      </c>
      <c r="AC10" s="123" t="s">
        <v>12</v>
      </c>
      <c r="AD10" s="123" t="s">
        <v>8</v>
      </c>
      <c r="AE10" s="123" t="s">
        <v>9</v>
      </c>
      <c r="AF10" s="123" t="s">
        <v>10</v>
      </c>
      <c r="AG10" s="123" t="s">
        <v>11</v>
      </c>
      <c r="AH10" s="123" t="s">
        <v>12</v>
      </c>
      <c r="AI10" s="185"/>
      <c r="AJ10" s="235"/>
      <c r="AK10" s="236"/>
      <c r="AS10" s="4"/>
    </row>
    <row r="11" spans="1:46" s="17" customFormat="1" ht="15.95" hidden="1" customHeight="1" x14ac:dyDescent="0.25">
      <c r="A11" s="83">
        <v>1</v>
      </c>
      <c r="B11" s="86" t="s">
        <v>249</v>
      </c>
      <c r="C11" s="49" t="s">
        <v>15</v>
      </c>
      <c r="D11" s="87" t="s">
        <v>282</v>
      </c>
      <c r="E11" s="88">
        <v>43</v>
      </c>
      <c r="F11" s="88">
        <v>40</v>
      </c>
      <c r="G11" s="27">
        <f>(E11+F11)</f>
        <v>83</v>
      </c>
      <c r="H11" s="29">
        <f>AVERAGE(G11)</f>
        <v>83</v>
      </c>
      <c r="I11" s="28" t="str">
        <f>IF((F11&lt;18),"F",IF(AND(H11&gt;=70,H11&lt;100),"FCD",IF(AND(H11&gt;=60,H11&lt;70),"FC",IF(AND(H11&gt;=35,H11&lt;60),"SC",IF(AND(H11&gt;0,H11&gt;35),"F")))))</f>
        <v>FCD</v>
      </c>
      <c r="J11" s="88">
        <v>48</v>
      </c>
      <c r="K11" s="88">
        <v>27</v>
      </c>
      <c r="L11" s="247">
        <f>(J11+K11)</f>
        <v>75</v>
      </c>
      <c r="M11" s="28">
        <f>AVERAGE(L11)</f>
        <v>75</v>
      </c>
      <c r="N11" s="39" t="str">
        <f>IF((K11&lt;18),"F",IF(AND(M11&gt;=70,M11&lt;100),"FCD",IF(AND(M11&gt;=60,M11&lt;70),"FC",IF(AND(M11&gt;=35,M11&lt;60),"SC",IF(AND(M11&gt;0,M11&gt;35),"F")))))</f>
        <v>FCD</v>
      </c>
      <c r="O11" s="88">
        <v>39</v>
      </c>
      <c r="P11" s="88">
        <v>40</v>
      </c>
      <c r="Q11" s="247">
        <f>(O11+P11)</f>
        <v>79</v>
      </c>
      <c r="R11" s="28">
        <f>AVERAGE(Q11)</f>
        <v>79</v>
      </c>
      <c r="S11" s="25" t="str">
        <f>IF((P11&lt;18),"F",IF(AND(R11&gt;=70,R11&lt;100),"FCD",IF(AND(R11&gt;=60,R11&lt;70),"FC",IF(AND(R11&gt;=35,R11&lt;60),"SC",IF(AND(R11&gt;0,R11&gt;35),"F")))))</f>
        <v>FCD</v>
      </c>
      <c r="T11" s="88">
        <v>90</v>
      </c>
      <c r="U11" s="88">
        <v>94</v>
      </c>
      <c r="V11" s="247">
        <f>T11+U11</f>
        <v>184</v>
      </c>
      <c r="W11" s="30">
        <f>AVERAGE(V11/2)</f>
        <v>92</v>
      </c>
      <c r="X11" s="25" t="str">
        <f>IF((U11&lt;18),"F",IF(AND(W11&gt;=70,W11&lt;100),"FCD",IF(AND(W11&gt;=60,W11&lt;70),"FC",IF(AND(W11&gt;=35,W11&lt;60),"SC",IF(AND(W11&gt;0,W11&gt;35),"F")))))</f>
        <v>FCD</v>
      </c>
      <c r="Y11" s="88">
        <v>48</v>
      </c>
      <c r="Z11" s="88">
        <v>36</v>
      </c>
      <c r="AA11" s="257">
        <f>(Y11+Z11)</f>
        <v>84</v>
      </c>
      <c r="AB11" s="25">
        <f>AVERAGE(AA11)</f>
        <v>84</v>
      </c>
      <c r="AC11" s="25" t="str">
        <f>IF((Z11&lt;18),"F",IF(AND(AB11&gt;=70,AB11&lt;100),"FCD",IF(AND(AB11&gt;=60,AB11&lt;70),"FC",IF(AND(AB11&gt;=35,AB11&lt;60),"SC",IF(AND(AB11&gt;0,AB11&gt;35),"F")))))</f>
        <v>FCD</v>
      </c>
      <c r="AD11" s="88">
        <v>45</v>
      </c>
      <c r="AE11" s="88">
        <v>30</v>
      </c>
      <c r="AF11" s="257">
        <f>(AD11+AE11)</f>
        <v>75</v>
      </c>
      <c r="AG11" s="25">
        <f>AVERAGE(AF11)</f>
        <v>75</v>
      </c>
      <c r="AH11" s="25" t="str">
        <f>IF((AE11&lt;18),"F",IF(AND(AG11&gt;=70,AG11&lt;100),"FCD",IF(AND(AG11&gt;=60,AG11&lt;70),"FC",IF(AND(AG11&gt;=35,AG11&lt;60),"SC",IF(AND(AG11&gt;0,AG11&gt;35),"F")))))</f>
        <v>FCD</v>
      </c>
      <c r="AI11" s="257">
        <f>SUM(G11,L11,Q11,V11,AA11,AF11)</f>
        <v>580</v>
      </c>
      <c r="AJ11" s="261">
        <f>(G11+L11+Q11+V11+AA11+AF11)*100/700</f>
        <v>82.857142857142861</v>
      </c>
      <c r="AK11" s="262" t="str">
        <f>IF(AND(AJ11&gt;=70,AJ11&lt;100),"FCD",IF(AND(AJ11&gt;=60,AJ11&lt;70),"FC",IF(AND(AJ11&gt;=35,AJ11&lt;60)," SC",IF(AND(AJ11&gt;0,AJ11&lt;35),"FAIL"))))</f>
        <v>FCD</v>
      </c>
      <c r="AS11" s="18"/>
    </row>
    <row r="12" spans="1:46" ht="15.95" hidden="1" customHeight="1" x14ac:dyDescent="0.25">
      <c r="A12" s="83">
        <v>2</v>
      </c>
      <c r="B12" s="86" t="s">
        <v>250</v>
      </c>
      <c r="C12" s="47" t="s">
        <v>13</v>
      </c>
      <c r="D12" s="87" t="s">
        <v>283</v>
      </c>
      <c r="E12" s="88">
        <v>48</v>
      </c>
      <c r="F12" s="88">
        <v>37</v>
      </c>
      <c r="G12" s="27">
        <f t="shared" ref="G12:G43" si="0">(E12+F12)</f>
        <v>85</v>
      </c>
      <c r="H12" s="29">
        <f t="shared" ref="H12:H43" si="1">AVERAGE(G12)</f>
        <v>85</v>
      </c>
      <c r="I12" s="28" t="str">
        <f t="shared" ref="I12:I43" si="2">IF((F12&lt;18),"F",IF(AND(H12&gt;=70,H12&lt;100),"FCD",IF(AND(H12&gt;=60,H12&lt;70),"FC",IF(AND(H12&gt;=35,H12&lt;60),"SC",IF(AND(H12&gt;0,H12&gt;35),"F")))))</f>
        <v>FCD</v>
      </c>
      <c r="J12" s="88">
        <v>49</v>
      </c>
      <c r="K12" s="88">
        <v>43</v>
      </c>
      <c r="L12" s="247">
        <f t="shared" ref="L12:L43" si="3">(J12+K12)</f>
        <v>92</v>
      </c>
      <c r="M12" s="28">
        <f t="shared" ref="M12:M43" si="4">AVERAGE(L12)</f>
        <v>92</v>
      </c>
      <c r="N12" s="39" t="str">
        <f t="shared" ref="N12:N43" si="5">IF((K12&lt;18),"F",IF(AND(M12&gt;=70,M12&lt;100),"FCD",IF(AND(M12&gt;=60,M12&lt;70),"FC",IF(AND(M12&gt;=35,M12&lt;60),"SC",IF(AND(M12&gt;0,M12&gt;35),"F")))))</f>
        <v>FCD</v>
      </c>
      <c r="O12" s="88">
        <v>50</v>
      </c>
      <c r="P12" s="88">
        <v>28</v>
      </c>
      <c r="Q12" s="247">
        <f t="shared" ref="Q12:Q43" si="6">(O12+P12)</f>
        <v>78</v>
      </c>
      <c r="R12" s="28">
        <f t="shared" ref="R12:R43" si="7">AVERAGE(Q12)</f>
        <v>78</v>
      </c>
      <c r="S12" s="25" t="str">
        <f t="shared" ref="S12:S43" si="8">IF((P12&lt;18),"F",IF(AND(R12&gt;=70,R12&lt;100),"FCD",IF(AND(R12&gt;=60,R12&lt;70),"FC",IF(AND(R12&gt;=35,R12&lt;60),"SC",IF(AND(R12&gt;0,R12&gt;35),"F")))))</f>
        <v>FCD</v>
      </c>
      <c r="T12" s="88">
        <v>88</v>
      </c>
      <c r="U12" s="88">
        <v>94</v>
      </c>
      <c r="V12" s="247">
        <f t="shared" ref="V12:V43" si="9">T12+U12</f>
        <v>182</v>
      </c>
      <c r="W12" s="30">
        <f t="shared" ref="W12:W43" si="10">AVERAGE(V12/2)</f>
        <v>91</v>
      </c>
      <c r="X12" s="25" t="str">
        <f t="shared" ref="X12:X43" si="11">IF((U12&lt;18),"F",IF(AND(W12&gt;=70,W12&lt;100),"FCD",IF(AND(W12&gt;=60,W12&lt;70),"FC",IF(AND(W12&gt;=35,W12&lt;60),"SC",IF(AND(W12&gt;0,W12&gt;35),"F")))))</f>
        <v>FCD</v>
      </c>
      <c r="Y12" s="88">
        <v>50</v>
      </c>
      <c r="Z12" s="88">
        <v>44</v>
      </c>
      <c r="AA12" s="257">
        <f t="shared" ref="AA12:AA43" si="12">(Y12+Z12)</f>
        <v>94</v>
      </c>
      <c r="AB12" s="25">
        <f t="shared" ref="AB12:AB43" si="13">AVERAGE(AA12)</f>
        <v>94</v>
      </c>
      <c r="AC12" s="25" t="str">
        <f t="shared" ref="AC12:AC43" si="14">IF((Z12&lt;18),"F",IF(AND(AB12&gt;=70,AB12&lt;100),"FCD",IF(AND(AB12&gt;=60,AB12&lt;70),"FC",IF(AND(AB12&gt;=35,AB12&lt;60),"SC",IF(AND(AB12&gt;0,AB12&gt;35),"F")))))</f>
        <v>FCD</v>
      </c>
      <c r="AD12" s="88">
        <v>47</v>
      </c>
      <c r="AE12" s="88">
        <v>37</v>
      </c>
      <c r="AF12" s="257">
        <f t="shared" ref="AF12:AF43" si="15">(AD12+AE12)</f>
        <v>84</v>
      </c>
      <c r="AG12" s="25">
        <f t="shared" ref="AG12:AG74" si="16">AVERAGE(AF12)</f>
        <v>84</v>
      </c>
      <c r="AH12" s="25" t="str">
        <f t="shared" ref="AH12:AH43" si="17">IF((AE12&lt;18),"F",IF(AND(AG12&gt;=70,AG12&lt;100),"FCD",IF(AND(AG12&gt;=60,AG12&lt;70),"FC",IF(AND(AG12&gt;=35,AG12&lt;60),"SC",IF(AND(AG12&gt;0,AG12&gt;35),"F")))))</f>
        <v>FCD</v>
      </c>
      <c r="AI12" s="257">
        <f t="shared" ref="AI12:AI43" si="18">SUM(G12,L12,Q12,V12,AA12,AF12)</f>
        <v>615</v>
      </c>
      <c r="AJ12" s="261">
        <f t="shared" ref="AJ12:AJ43" si="19">(G12+L12+Q12+V12+AA12+AF12)*100/700</f>
        <v>87.857142857142861</v>
      </c>
      <c r="AK12" s="262" t="str">
        <f t="shared" ref="AK12:AK42" si="20">IF(AND(AJ12&gt;=70,AJ12&lt;100),"FCD",IF(AND(AJ12&gt;=60,AJ12&lt;70),"FC",IF(AND(AJ12&gt;=35,AJ12&lt;60)," SC",IF(AND(AJ12&gt;0,AJ12&lt;35),"FAIL"))))</f>
        <v>FCD</v>
      </c>
      <c r="AL12" s="1"/>
      <c r="AM12" s="1"/>
      <c r="AN12" s="1"/>
      <c r="AO12" s="1"/>
      <c r="AP12" s="1"/>
      <c r="AQ12" s="1"/>
      <c r="AR12" s="1"/>
      <c r="AS12" s="4"/>
      <c r="AT12" s="1"/>
    </row>
    <row r="13" spans="1:46" ht="15.95" hidden="1" customHeight="1" x14ac:dyDescent="0.25">
      <c r="A13" s="83">
        <v>3</v>
      </c>
      <c r="B13" s="86" t="s">
        <v>251</v>
      </c>
      <c r="C13" s="49" t="s">
        <v>13</v>
      </c>
      <c r="D13" s="87" t="s">
        <v>284</v>
      </c>
      <c r="E13" s="88">
        <v>47</v>
      </c>
      <c r="F13" s="88">
        <v>40</v>
      </c>
      <c r="G13" s="27">
        <f t="shared" si="0"/>
        <v>87</v>
      </c>
      <c r="H13" s="29">
        <f t="shared" si="1"/>
        <v>87</v>
      </c>
      <c r="I13" s="28" t="str">
        <f t="shared" si="2"/>
        <v>FCD</v>
      </c>
      <c r="J13" s="88">
        <v>48</v>
      </c>
      <c r="K13" s="88">
        <v>37</v>
      </c>
      <c r="L13" s="247">
        <f t="shared" si="3"/>
        <v>85</v>
      </c>
      <c r="M13" s="28">
        <f t="shared" si="4"/>
        <v>85</v>
      </c>
      <c r="N13" s="39" t="str">
        <f t="shared" si="5"/>
        <v>FCD</v>
      </c>
      <c r="O13" s="88">
        <v>47</v>
      </c>
      <c r="P13" s="88">
        <v>21</v>
      </c>
      <c r="Q13" s="247">
        <f t="shared" si="6"/>
        <v>68</v>
      </c>
      <c r="R13" s="28">
        <f t="shared" si="7"/>
        <v>68</v>
      </c>
      <c r="S13" s="25" t="str">
        <f t="shared" si="8"/>
        <v>FC</v>
      </c>
      <c r="T13" s="88">
        <v>97</v>
      </c>
      <c r="U13" s="88">
        <v>96</v>
      </c>
      <c r="V13" s="247">
        <f t="shared" si="9"/>
        <v>193</v>
      </c>
      <c r="W13" s="30">
        <f t="shared" si="10"/>
        <v>96.5</v>
      </c>
      <c r="X13" s="25" t="str">
        <f t="shared" si="11"/>
        <v>FCD</v>
      </c>
      <c r="Y13" s="88">
        <v>50</v>
      </c>
      <c r="Z13" s="88">
        <v>41</v>
      </c>
      <c r="AA13" s="257">
        <f t="shared" si="12"/>
        <v>91</v>
      </c>
      <c r="AB13" s="25">
        <f t="shared" si="13"/>
        <v>91</v>
      </c>
      <c r="AC13" s="25" t="str">
        <f t="shared" si="14"/>
        <v>FCD</v>
      </c>
      <c r="AD13" s="88">
        <v>48</v>
      </c>
      <c r="AE13" s="88">
        <v>23</v>
      </c>
      <c r="AF13" s="257">
        <f t="shared" si="15"/>
        <v>71</v>
      </c>
      <c r="AG13" s="25">
        <f t="shared" si="16"/>
        <v>71</v>
      </c>
      <c r="AH13" s="25" t="str">
        <f t="shared" si="17"/>
        <v>FCD</v>
      </c>
      <c r="AI13" s="257">
        <f t="shared" si="18"/>
        <v>595</v>
      </c>
      <c r="AJ13" s="261">
        <f t="shared" si="19"/>
        <v>85</v>
      </c>
      <c r="AK13" s="262" t="str">
        <f t="shared" si="20"/>
        <v>FCD</v>
      </c>
      <c r="AL13" s="1"/>
      <c r="AM13" s="1"/>
      <c r="AN13" s="1"/>
      <c r="AO13" s="1"/>
      <c r="AP13" s="1"/>
      <c r="AQ13" s="1"/>
      <c r="AR13" s="1"/>
      <c r="AS13" s="4"/>
      <c r="AT13" s="4"/>
    </row>
    <row r="14" spans="1:46" ht="15.95" hidden="1" customHeight="1" x14ac:dyDescent="0.25">
      <c r="A14" s="83">
        <v>4</v>
      </c>
      <c r="B14" s="86" t="s">
        <v>252</v>
      </c>
      <c r="C14" s="47" t="s">
        <v>13</v>
      </c>
      <c r="D14" s="87" t="s">
        <v>285</v>
      </c>
      <c r="E14" s="88">
        <v>47</v>
      </c>
      <c r="F14" s="88">
        <v>40</v>
      </c>
      <c r="G14" s="27">
        <f t="shared" si="0"/>
        <v>87</v>
      </c>
      <c r="H14" s="29">
        <f t="shared" si="1"/>
        <v>87</v>
      </c>
      <c r="I14" s="28" t="str">
        <f t="shared" si="2"/>
        <v>FCD</v>
      </c>
      <c r="J14" s="88">
        <v>48</v>
      </c>
      <c r="K14" s="88">
        <v>47</v>
      </c>
      <c r="L14" s="247">
        <f t="shared" si="3"/>
        <v>95</v>
      </c>
      <c r="M14" s="28">
        <f t="shared" si="4"/>
        <v>95</v>
      </c>
      <c r="N14" s="39" t="str">
        <f t="shared" si="5"/>
        <v>FCD</v>
      </c>
      <c r="O14" s="88">
        <v>45</v>
      </c>
      <c r="P14" s="88">
        <v>25</v>
      </c>
      <c r="Q14" s="247">
        <f t="shared" si="6"/>
        <v>70</v>
      </c>
      <c r="R14" s="28">
        <f t="shared" si="7"/>
        <v>70</v>
      </c>
      <c r="S14" s="25" t="str">
        <f t="shared" si="8"/>
        <v>FCD</v>
      </c>
      <c r="T14" s="88">
        <v>84</v>
      </c>
      <c r="U14" s="88">
        <v>91</v>
      </c>
      <c r="V14" s="247">
        <f t="shared" si="9"/>
        <v>175</v>
      </c>
      <c r="W14" s="30">
        <f t="shared" si="10"/>
        <v>87.5</v>
      </c>
      <c r="X14" s="25" t="str">
        <f t="shared" si="11"/>
        <v>FCD</v>
      </c>
      <c r="Y14" s="88">
        <v>49</v>
      </c>
      <c r="Z14" s="88">
        <v>39</v>
      </c>
      <c r="AA14" s="257">
        <f t="shared" si="12"/>
        <v>88</v>
      </c>
      <c r="AB14" s="25">
        <f t="shared" si="13"/>
        <v>88</v>
      </c>
      <c r="AC14" s="25" t="str">
        <f t="shared" si="14"/>
        <v>FCD</v>
      </c>
      <c r="AD14" s="88">
        <v>48</v>
      </c>
      <c r="AE14" s="88">
        <v>24</v>
      </c>
      <c r="AF14" s="257">
        <f t="shared" si="15"/>
        <v>72</v>
      </c>
      <c r="AG14" s="25">
        <f t="shared" si="16"/>
        <v>72</v>
      </c>
      <c r="AH14" s="25" t="str">
        <f t="shared" si="17"/>
        <v>FCD</v>
      </c>
      <c r="AI14" s="257">
        <f t="shared" si="18"/>
        <v>587</v>
      </c>
      <c r="AJ14" s="261">
        <f t="shared" si="19"/>
        <v>83.857142857142861</v>
      </c>
      <c r="AK14" s="262" t="str">
        <f t="shared" si="20"/>
        <v>FCD</v>
      </c>
      <c r="AL14" s="1"/>
      <c r="AM14" s="1"/>
      <c r="AN14" s="1"/>
      <c r="AO14" s="1"/>
      <c r="AP14" s="1"/>
      <c r="AQ14" s="1"/>
      <c r="AR14" s="1"/>
      <c r="AS14" s="4"/>
      <c r="AT14" s="4"/>
    </row>
    <row r="15" spans="1:46" ht="15.95" hidden="1" customHeight="1" x14ac:dyDescent="0.25">
      <c r="A15" s="83">
        <v>5</v>
      </c>
      <c r="B15" s="86" t="s">
        <v>253</v>
      </c>
      <c r="C15" s="49" t="s">
        <v>15</v>
      </c>
      <c r="D15" s="87" t="s">
        <v>286</v>
      </c>
      <c r="E15" s="88">
        <v>43</v>
      </c>
      <c r="F15" s="88">
        <v>36</v>
      </c>
      <c r="G15" s="27">
        <f t="shared" si="0"/>
        <v>79</v>
      </c>
      <c r="H15" s="29">
        <f t="shared" si="1"/>
        <v>79</v>
      </c>
      <c r="I15" s="28" t="str">
        <f t="shared" si="2"/>
        <v>FCD</v>
      </c>
      <c r="J15" s="88">
        <v>48</v>
      </c>
      <c r="K15" s="88">
        <v>23</v>
      </c>
      <c r="L15" s="247">
        <f t="shared" si="3"/>
        <v>71</v>
      </c>
      <c r="M15" s="28">
        <f t="shared" si="4"/>
        <v>71</v>
      </c>
      <c r="N15" s="39" t="str">
        <f t="shared" si="5"/>
        <v>FCD</v>
      </c>
      <c r="O15" s="88">
        <v>43</v>
      </c>
      <c r="P15" s="88">
        <v>19</v>
      </c>
      <c r="Q15" s="247">
        <f t="shared" si="6"/>
        <v>62</v>
      </c>
      <c r="R15" s="28">
        <f t="shared" si="7"/>
        <v>62</v>
      </c>
      <c r="S15" s="25" t="str">
        <f t="shared" si="8"/>
        <v>FC</v>
      </c>
      <c r="T15" s="88">
        <v>91</v>
      </c>
      <c r="U15" s="88">
        <v>95</v>
      </c>
      <c r="V15" s="247">
        <f t="shared" si="9"/>
        <v>186</v>
      </c>
      <c r="W15" s="30">
        <f t="shared" si="10"/>
        <v>93</v>
      </c>
      <c r="X15" s="25" t="str">
        <f t="shared" si="11"/>
        <v>FCD</v>
      </c>
      <c r="Y15" s="88">
        <v>48</v>
      </c>
      <c r="Z15" s="88">
        <v>32</v>
      </c>
      <c r="AA15" s="257">
        <f t="shared" si="12"/>
        <v>80</v>
      </c>
      <c r="AB15" s="25">
        <f t="shared" si="13"/>
        <v>80</v>
      </c>
      <c r="AC15" s="25" t="str">
        <f t="shared" si="14"/>
        <v>FCD</v>
      </c>
      <c r="AD15" s="88">
        <v>42</v>
      </c>
      <c r="AE15" s="88">
        <v>24</v>
      </c>
      <c r="AF15" s="257">
        <f t="shared" si="15"/>
        <v>66</v>
      </c>
      <c r="AG15" s="25">
        <f t="shared" si="16"/>
        <v>66</v>
      </c>
      <c r="AH15" s="25" t="str">
        <f t="shared" si="17"/>
        <v>FC</v>
      </c>
      <c r="AI15" s="257">
        <f t="shared" si="18"/>
        <v>544</v>
      </c>
      <c r="AJ15" s="261">
        <f t="shared" si="19"/>
        <v>77.714285714285708</v>
      </c>
      <c r="AK15" s="262" t="str">
        <f t="shared" si="20"/>
        <v>FCD</v>
      </c>
      <c r="AL15" s="1"/>
      <c r="AM15" s="1"/>
      <c r="AN15" s="1"/>
      <c r="AO15" s="1"/>
      <c r="AP15" s="1"/>
      <c r="AQ15" s="1"/>
      <c r="AR15" s="1"/>
      <c r="AS15" s="4"/>
      <c r="AT15" s="4"/>
    </row>
    <row r="16" spans="1:46" s="13" customFormat="1" ht="15.95" customHeight="1" x14ac:dyDescent="0.25">
      <c r="A16" s="161">
        <v>6</v>
      </c>
      <c r="B16" s="162" t="s">
        <v>254</v>
      </c>
      <c r="C16" s="191" t="s">
        <v>15</v>
      </c>
      <c r="D16" s="192" t="s">
        <v>287</v>
      </c>
      <c r="E16" s="164">
        <v>48</v>
      </c>
      <c r="F16" s="164">
        <v>38</v>
      </c>
      <c r="G16" s="165">
        <f t="shared" si="0"/>
        <v>86</v>
      </c>
      <c r="H16" s="166">
        <f t="shared" si="1"/>
        <v>86</v>
      </c>
      <c r="I16" s="28" t="str">
        <f t="shared" si="2"/>
        <v>FCD</v>
      </c>
      <c r="J16" s="164">
        <v>49</v>
      </c>
      <c r="K16" s="164">
        <v>43</v>
      </c>
      <c r="L16" s="268">
        <f t="shared" si="3"/>
        <v>92</v>
      </c>
      <c r="M16" s="167">
        <f t="shared" si="4"/>
        <v>92</v>
      </c>
      <c r="N16" s="39" t="str">
        <f t="shared" si="5"/>
        <v>FCD</v>
      </c>
      <c r="O16" s="164">
        <v>50</v>
      </c>
      <c r="P16" s="164">
        <v>35</v>
      </c>
      <c r="Q16" s="268">
        <f t="shared" si="6"/>
        <v>85</v>
      </c>
      <c r="R16" s="167">
        <f t="shared" si="7"/>
        <v>85</v>
      </c>
      <c r="S16" s="25" t="str">
        <f t="shared" si="8"/>
        <v>FCD</v>
      </c>
      <c r="T16" s="164">
        <v>95</v>
      </c>
      <c r="U16" s="164">
        <v>97</v>
      </c>
      <c r="V16" s="268">
        <f t="shared" si="9"/>
        <v>192</v>
      </c>
      <c r="W16" s="168">
        <f t="shared" si="10"/>
        <v>96</v>
      </c>
      <c r="X16" s="25" t="str">
        <f t="shared" si="11"/>
        <v>FCD</v>
      </c>
      <c r="Y16" s="164">
        <v>50</v>
      </c>
      <c r="Z16" s="164">
        <v>44</v>
      </c>
      <c r="AA16" s="269">
        <f t="shared" si="12"/>
        <v>94</v>
      </c>
      <c r="AB16" s="169">
        <f t="shared" si="13"/>
        <v>94</v>
      </c>
      <c r="AC16" s="25" t="str">
        <f t="shared" si="14"/>
        <v>FCD</v>
      </c>
      <c r="AD16" s="164">
        <v>49</v>
      </c>
      <c r="AE16" s="164">
        <v>39</v>
      </c>
      <c r="AF16" s="269">
        <f t="shared" si="15"/>
        <v>88</v>
      </c>
      <c r="AG16" s="169">
        <f t="shared" si="16"/>
        <v>88</v>
      </c>
      <c r="AH16" s="25" t="str">
        <f t="shared" si="17"/>
        <v>FCD</v>
      </c>
      <c r="AI16" s="257">
        <f t="shared" si="18"/>
        <v>637</v>
      </c>
      <c r="AJ16" s="272">
        <f t="shared" si="19"/>
        <v>91</v>
      </c>
      <c r="AK16" s="273" t="str">
        <f t="shared" si="20"/>
        <v>FCD</v>
      </c>
      <c r="AS16" s="12"/>
      <c r="AT16" s="12"/>
    </row>
    <row r="17" spans="1:46" s="13" customFormat="1" ht="15.95" hidden="1" customHeight="1" x14ac:dyDescent="0.25">
      <c r="A17" s="83">
        <v>7</v>
      </c>
      <c r="B17" s="86" t="s">
        <v>255</v>
      </c>
      <c r="C17" s="47" t="s">
        <v>15</v>
      </c>
      <c r="D17" s="87" t="s">
        <v>288</v>
      </c>
      <c r="E17" s="88">
        <v>40</v>
      </c>
      <c r="F17" s="88">
        <v>40</v>
      </c>
      <c r="G17" s="27">
        <f t="shared" si="0"/>
        <v>80</v>
      </c>
      <c r="H17" s="29">
        <f t="shared" si="1"/>
        <v>80</v>
      </c>
      <c r="I17" s="28" t="str">
        <f t="shared" si="2"/>
        <v>FCD</v>
      </c>
      <c r="J17" s="136">
        <v>49</v>
      </c>
      <c r="K17" s="136">
        <v>14</v>
      </c>
      <c r="L17" s="250">
        <f t="shared" si="3"/>
        <v>63</v>
      </c>
      <c r="M17" s="31">
        <f t="shared" si="4"/>
        <v>63</v>
      </c>
      <c r="N17" s="40" t="str">
        <f t="shared" si="5"/>
        <v>F</v>
      </c>
      <c r="O17" s="88">
        <v>37</v>
      </c>
      <c r="P17" s="88">
        <v>18</v>
      </c>
      <c r="Q17" s="247">
        <f t="shared" si="6"/>
        <v>55</v>
      </c>
      <c r="R17" s="28">
        <f t="shared" si="7"/>
        <v>55</v>
      </c>
      <c r="S17" s="25" t="str">
        <f t="shared" si="8"/>
        <v>SC</v>
      </c>
      <c r="T17" s="88">
        <v>90</v>
      </c>
      <c r="U17" s="88">
        <v>91</v>
      </c>
      <c r="V17" s="247">
        <f t="shared" si="9"/>
        <v>181</v>
      </c>
      <c r="W17" s="30">
        <f t="shared" si="10"/>
        <v>90.5</v>
      </c>
      <c r="X17" s="25" t="str">
        <f t="shared" si="11"/>
        <v>FCD</v>
      </c>
      <c r="Y17" s="88">
        <v>46</v>
      </c>
      <c r="Z17" s="88">
        <v>28</v>
      </c>
      <c r="AA17" s="257">
        <f t="shared" si="12"/>
        <v>74</v>
      </c>
      <c r="AB17" s="25">
        <f t="shared" si="13"/>
        <v>74</v>
      </c>
      <c r="AC17" s="25" t="str">
        <f t="shared" si="14"/>
        <v>FCD</v>
      </c>
      <c r="AD17" s="88">
        <v>40</v>
      </c>
      <c r="AE17" s="88">
        <v>25</v>
      </c>
      <c r="AF17" s="257">
        <f t="shared" si="15"/>
        <v>65</v>
      </c>
      <c r="AG17" s="25">
        <f t="shared" si="16"/>
        <v>65</v>
      </c>
      <c r="AH17" s="25" t="str">
        <f t="shared" si="17"/>
        <v>FC</v>
      </c>
      <c r="AI17" s="257">
        <f t="shared" si="18"/>
        <v>518</v>
      </c>
      <c r="AJ17" s="261">
        <f t="shared" si="19"/>
        <v>74</v>
      </c>
      <c r="AK17" s="266" t="s">
        <v>322</v>
      </c>
      <c r="AS17" s="12"/>
      <c r="AT17" s="12"/>
    </row>
    <row r="18" spans="1:46" ht="15.95" hidden="1" customHeight="1" x14ac:dyDescent="0.25">
      <c r="A18" s="83">
        <v>8</v>
      </c>
      <c r="B18" s="86" t="s">
        <v>256</v>
      </c>
      <c r="C18" s="49" t="s">
        <v>15</v>
      </c>
      <c r="D18" s="87" t="s">
        <v>289</v>
      </c>
      <c r="E18" s="88">
        <v>45</v>
      </c>
      <c r="F18" s="88">
        <v>40</v>
      </c>
      <c r="G18" s="27">
        <f t="shared" si="0"/>
        <v>85</v>
      </c>
      <c r="H18" s="29">
        <f t="shared" si="1"/>
        <v>85</v>
      </c>
      <c r="I18" s="28" t="str">
        <f t="shared" si="2"/>
        <v>FCD</v>
      </c>
      <c r="J18" s="88">
        <v>49</v>
      </c>
      <c r="K18" s="88">
        <v>36</v>
      </c>
      <c r="L18" s="247">
        <f t="shared" si="3"/>
        <v>85</v>
      </c>
      <c r="M18" s="28">
        <f t="shared" si="4"/>
        <v>85</v>
      </c>
      <c r="N18" s="39" t="str">
        <f t="shared" si="5"/>
        <v>FCD</v>
      </c>
      <c r="O18" s="88">
        <v>44</v>
      </c>
      <c r="P18" s="88">
        <v>28</v>
      </c>
      <c r="Q18" s="247">
        <f t="shared" si="6"/>
        <v>72</v>
      </c>
      <c r="R18" s="28">
        <f t="shared" si="7"/>
        <v>72</v>
      </c>
      <c r="S18" s="25" t="str">
        <f t="shared" si="8"/>
        <v>FCD</v>
      </c>
      <c r="T18" s="88">
        <v>94</v>
      </c>
      <c r="U18" s="88">
        <v>91</v>
      </c>
      <c r="V18" s="247">
        <f t="shared" si="9"/>
        <v>185</v>
      </c>
      <c r="W18" s="30">
        <f t="shared" si="10"/>
        <v>92.5</v>
      </c>
      <c r="X18" s="25" t="str">
        <f t="shared" si="11"/>
        <v>FCD</v>
      </c>
      <c r="Y18" s="88">
        <v>48</v>
      </c>
      <c r="Z18" s="88">
        <v>30</v>
      </c>
      <c r="AA18" s="257">
        <f t="shared" si="12"/>
        <v>78</v>
      </c>
      <c r="AB18" s="25">
        <f t="shared" si="13"/>
        <v>78</v>
      </c>
      <c r="AC18" s="25" t="str">
        <f t="shared" si="14"/>
        <v>FCD</v>
      </c>
      <c r="AD18" s="88">
        <v>45</v>
      </c>
      <c r="AE18" s="88">
        <v>39</v>
      </c>
      <c r="AF18" s="257">
        <f t="shared" si="15"/>
        <v>84</v>
      </c>
      <c r="AG18" s="25">
        <f t="shared" si="16"/>
        <v>84</v>
      </c>
      <c r="AH18" s="25" t="str">
        <f t="shared" si="17"/>
        <v>FCD</v>
      </c>
      <c r="AI18" s="257">
        <f t="shared" si="18"/>
        <v>589</v>
      </c>
      <c r="AJ18" s="261">
        <f t="shared" si="19"/>
        <v>84.142857142857139</v>
      </c>
      <c r="AK18" s="262" t="str">
        <f t="shared" si="20"/>
        <v>FCD</v>
      </c>
      <c r="AL18" s="1"/>
      <c r="AM18" s="1"/>
      <c r="AN18" s="1"/>
      <c r="AO18" s="1"/>
      <c r="AP18" s="1"/>
      <c r="AQ18" s="1"/>
      <c r="AR18" s="1"/>
      <c r="AS18" s="4"/>
      <c r="AT18" s="1"/>
    </row>
    <row r="19" spans="1:46" s="13" customFormat="1" ht="15.95" hidden="1" customHeight="1" x14ac:dyDescent="0.25">
      <c r="A19" s="83">
        <v>9</v>
      </c>
      <c r="B19" s="86" t="s">
        <v>257</v>
      </c>
      <c r="C19" s="49" t="s">
        <v>15</v>
      </c>
      <c r="D19" s="87" t="s">
        <v>290</v>
      </c>
      <c r="E19" s="88">
        <v>42</v>
      </c>
      <c r="F19" s="88">
        <v>40</v>
      </c>
      <c r="G19" s="27">
        <f t="shared" si="0"/>
        <v>82</v>
      </c>
      <c r="H19" s="29">
        <f t="shared" si="1"/>
        <v>82</v>
      </c>
      <c r="I19" s="28" t="str">
        <f t="shared" si="2"/>
        <v>FCD</v>
      </c>
      <c r="J19" s="88">
        <v>47</v>
      </c>
      <c r="K19" s="88">
        <v>23</v>
      </c>
      <c r="L19" s="247">
        <f t="shared" si="3"/>
        <v>70</v>
      </c>
      <c r="M19" s="28">
        <f t="shared" si="4"/>
        <v>70</v>
      </c>
      <c r="N19" s="39" t="str">
        <f t="shared" si="5"/>
        <v>FCD</v>
      </c>
      <c r="O19" s="88">
        <v>39</v>
      </c>
      <c r="P19" s="88">
        <v>18</v>
      </c>
      <c r="Q19" s="247">
        <f t="shared" si="6"/>
        <v>57</v>
      </c>
      <c r="R19" s="28">
        <f t="shared" si="7"/>
        <v>57</v>
      </c>
      <c r="S19" s="25" t="str">
        <f t="shared" si="8"/>
        <v>SC</v>
      </c>
      <c r="T19" s="88">
        <v>91</v>
      </c>
      <c r="U19" s="88">
        <v>90</v>
      </c>
      <c r="V19" s="247">
        <f t="shared" si="9"/>
        <v>181</v>
      </c>
      <c r="W19" s="30">
        <f t="shared" si="10"/>
        <v>90.5</v>
      </c>
      <c r="X19" s="25" t="str">
        <f t="shared" si="11"/>
        <v>FCD</v>
      </c>
      <c r="Y19" s="88">
        <v>42</v>
      </c>
      <c r="Z19" s="88">
        <v>36</v>
      </c>
      <c r="AA19" s="257">
        <f t="shared" si="12"/>
        <v>78</v>
      </c>
      <c r="AB19" s="25">
        <f t="shared" si="13"/>
        <v>78</v>
      </c>
      <c r="AC19" s="25" t="str">
        <f t="shared" si="14"/>
        <v>FCD</v>
      </c>
      <c r="AD19" s="88">
        <v>45</v>
      </c>
      <c r="AE19" s="88">
        <v>28</v>
      </c>
      <c r="AF19" s="257">
        <f t="shared" si="15"/>
        <v>73</v>
      </c>
      <c r="AG19" s="25">
        <f t="shared" si="16"/>
        <v>73</v>
      </c>
      <c r="AH19" s="25" t="str">
        <f t="shared" si="17"/>
        <v>FCD</v>
      </c>
      <c r="AI19" s="257">
        <f t="shared" si="18"/>
        <v>541</v>
      </c>
      <c r="AJ19" s="261">
        <f t="shared" si="19"/>
        <v>77.285714285714292</v>
      </c>
      <c r="AK19" s="262" t="str">
        <f t="shared" si="20"/>
        <v>FCD</v>
      </c>
      <c r="AS19" s="12"/>
    </row>
    <row r="20" spans="1:46" ht="15.95" hidden="1" customHeight="1" x14ac:dyDescent="0.25">
      <c r="A20" s="83">
        <v>10</v>
      </c>
      <c r="B20" s="86" t="s">
        <v>258</v>
      </c>
      <c r="C20" s="47" t="s">
        <v>15</v>
      </c>
      <c r="D20" s="87" t="s">
        <v>291</v>
      </c>
      <c r="E20" s="88">
        <v>44</v>
      </c>
      <c r="F20" s="88">
        <v>34</v>
      </c>
      <c r="G20" s="27">
        <f t="shared" si="0"/>
        <v>78</v>
      </c>
      <c r="H20" s="29">
        <f t="shared" si="1"/>
        <v>78</v>
      </c>
      <c r="I20" s="28" t="str">
        <f t="shared" si="2"/>
        <v>FCD</v>
      </c>
      <c r="J20" s="88">
        <v>48</v>
      </c>
      <c r="K20" s="88">
        <v>37</v>
      </c>
      <c r="L20" s="247">
        <f t="shared" si="3"/>
        <v>85</v>
      </c>
      <c r="M20" s="28">
        <f t="shared" si="4"/>
        <v>85</v>
      </c>
      <c r="N20" s="39" t="str">
        <f t="shared" si="5"/>
        <v>FCD</v>
      </c>
      <c r="O20" s="88">
        <v>43</v>
      </c>
      <c r="P20" s="88">
        <v>26</v>
      </c>
      <c r="Q20" s="247">
        <f t="shared" si="6"/>
        <v>69</v>
      </c>
      <c r="R20" s="28">
        <f t="shared" si="7"/>
        <v>69</v>
      </c>
      <c r="S20" s="25" t="str">
        <f t="shared" si="8"/>
        <v>FC</v>
      </c>
      <c r="T20" s="88">
        <v>93</v>
      </c>
      <c r="U20" s="88">
        <v>94</v>
      </c>
      <c r="V20" s="247">
        <f t="shared" si="9"/>
        <v>187</v>
      </c>
      <c r="W20" s="30">
        <f t="shared" si="10"/>
        <v>93.5</v>
      </c>
      <c r="X20" s="25" t="str">
        <f t="shared" si="11"/>
        <v>FCD</v>
      </c>
      <c r="Y20" s="88">
        <v>48</v>
      </c>
      <c r="Z20" s="88">
        <v>33</v>
      </c>
      <c r="AA20" s="257">
        <f t="shared" si="12"/>
        <v>81</v>
      </c>
      <c r="AB20" s="25">
        <f t="shared" si="13"/>
        <v>81</v>
      </c>
      <c r="AC20" s="25" t="str">
        <f t="shared" si="14"/>
        <v>FCD</v>
      </c>
      <c r="AD20" s="88">
        <v>45</v>
      </c>
      <c r="AE20" s="88">
        <v>29</v>
      </c>
      <c r="AF20" s="257">
        <f t="shared" si="15"/>
        <v>74</v>
      </c>
      <c r="AG20" s="25">
        <f t="shared" si="16"/>
        <v>74</v>
      </c>
      <c r="AH20" s="25" t="str">
        <f t="shared" si="17"/>
        <v>FCD</v>
      </c>
      <c r="AI20" s="257">
        <f t="shared" si="18"/>
        <v>574</v>
      </c>
      <c r="AJ20" s="261">
        <f t="shared" si="19"/>
        <v>82</v>
      </c>
      <c r="AK20" s="262" t="str">
        <f t="shared" si="20"/>
        <v>FCD</v>
      </c>
      <c r="AL20" s="1"/>
      <c r="AM20" s="1"/>
      <c r="AN20" s="1"/>
      <c r="AO20" s="1"/>
      <c r="AP20" s="1"/>
      <c r="AQ20" s="1"/>
      <c r="AR20" s="1"/>
      <c r="AS20" s="4"/>
      <c r="AT20" s="1"/>
    </row>
    <row r="21" spans="1:46" ht="15.95" hidden="1" customHeight="1" x14ac:dyDescent="0.25">
      <c r="A21" s="83">
        <v>11</v>
      </c>
      <c r="B21" s="86" t="s">
        <v>259</v>
      </c>
      <c r="C21" s="49" t="s">
        <v>15</v>
      </c>
      <c r="D21" s="87" t="s">
        <v>292</v>
      </c>
      <c r="E21" s="88">
        <v>47</v>
      </c>
      <c r="F21" s="88">
        <v>40</v>
      </c>
      <c r="G21" s="27">
        <f t="shared" si="0"/>
        <v>87</v>
      </c>
      <c r="H21" s="29">
        <f t="shared" si="1"/>
        <v>87</v>
      </c>
      <c r="I21" s="28" t="str">
        <f t="shared" si="2"/>
        <v>FCD</v>
      </c>
      <c r="J21" s="88">
        <v>50</v>
      </c>
      <c r="K21" s="88">
        <v>28</v>
      </c>
      <c r="L21" s="247">
        <f t="shared" si="3"/>
        <v>78</v>
      </c>
      <c r="M21" s="28">
        <f t="shared" si="4"/>
        <v>78</v>
      </c>
      <c r="N21" s="39" t="str">
        <f t="shared" si="5"/>
        <v>FCD</v>
      </c>
      <c r="O21" s="88">
        <v>47</v>
      </c>
      <c r="P21" s="88">
        <v>33</v>
      </c>
      <c r="Q21" s="247">
        <f t="shared" si="6"/>
        <v>80</v>
      </c>
      <c r="R21" s="28">
        <f t="shared" si="7"/>
        <v>80</v>
      </c>
      <c r="S21" s="25" t="str">
        <f t="shared" si="8"/>
        <v>FCD</v>
      </c>
      <c r="T21" s="88">
        <v>95</v>
      </c>
      <c r="U21" s="88">
        <v>98</v>
      </c>
      <c r="V21" s="247">
        <f t="shared" si="9"/>
        <v>193</v>
      </c>
      <c r="W21" s="30">
        <f t="shared" si="10"/>
        <v>96.5</v>
      </c>
      <c r="X21" s="25" t="str">
        <f t="shared" si="11"/>
        <v>FCD</v>
      </c>
      <c r="Y21" s="88">
        <v>50</v>
      </c>
      <c r="Z21" s="88">
        <v>30</v>
      </c>
      <c r="AA21" s="257">
        <f t="shared" si="12"/>
        <v>80</v>
      </c>
      <c r="AB21" s="25">
        <f t="shared" si="13"/>
        <v>80</v>
      </c>
      <c r="AC21" s="25" t="str">
        <f t="shared" si="14"/>
        <v>FCD</v>
      </c>
      <c r="AD21" s="88">
        <v>45</v>
      </c>
      <c r="AE21" s="88">
        <v>19</v>
      </c>
      <c r="AF21" s="257">
        <f t="shared" si="15"/>
        <v>64</v>
      </c>
      <c r="AG21" s="25">
        <f t="shared" si="16"/>
        <v>64</v>
      </c>
      <c r="AH21" s="25" t="str">
        <f t="shared" si="17"/>
        <v>FC</v>
      </c>
      <c r="AI21" s="257">
        <f t="shared" si="18"/>
        <v>582</v>
      </c>
      <c r="AJ21" s="261">
        <f t="shared" si="19"/>
        <v>83.142857142857139</v>
      </c>
      <c r="AK21" s="262" t="str">
        <f t="shared" si="20"/>
        <v>FCD</v>
      </c>
      <c r="AS21" s="4"/>
    </row>
    <row r="22" spans="1:46" s="13" customFormat="1" ht="15.95" hidden="1" customHeight="1" x14ac:dyDescent="0.25">
      <c r="A22" s="83">
        <v>12</v>
      </c>
      <c r="B22" s="86" t="s">
        <v>260</v>
      </c>
      <c r="C22" s="49" t="s">
        <v>15</v>
      </c>
      <c r="D22" s="87" t="s">
        <v>293</v>
      </c>
      <c r="E22" s="88">
        <v>49</v>
      </c>
      <c r="F22" s="88">
        <v>40</v>
      </c>
      <c r="G22" s="27">
        <f t="shared" si="0"/>
        <v>89</v>
      </c>
      <c r="H22" s="29">
        <f t="shared" si="1"/>
        <v>89</v>
      </c>
      <c r="I22" s="28" t="str">
        <f t="shared" si="2"/>
        <v>FCD</v>
      </c>
      <c r="J22" s="88">
        <v>48</v>
      </c>
      <c r="K22" s="88">
        <v>32</v>
      </c>
      <c r="L22" s="247">
        <f t="shared" si="3"/>
        <v>80</v>
      </c>
      <c r="M22" s="28">
        <f t="shared" si="4"/>
        <v>80</v>
      </c>
      <c r="N22" s="39" t="str">
        <f t="shared" si="5"/>
        <v>FCD</v>
      </c>
      <c r="O22" s="88">
        <v>47</v>
      </c>
      <c r="P22" s="88">
        <v>25</v>
      </c>
      <c r="Q22" s="247">
        <f t="shared" si="6"/>
        <v>72</v>
      </c>
      <c r="R22" s="28">
        <f t="shared" si="7"/>
        <v>72</v>
      </c>
      <c r="S22" s="25" t="str">
        <f t="shared" si="8"/>
        <v>FCD</v>
      </c>
      <c r="T22" s="88">
        <v>91</v>
      </c>
      <c r="U22" s="88">
        <v>91</v>
      </c>
      <c r="V22" s="247">
        <f t="shared" si="9"/>
        <v>182</v>
      </c>
      <c r="W22" s="30">
        <f t="shared" si="10"/>
        <v>91</v>
      </c>
      <c r="X22" s="25" t="str">
        <f t="shared" si="11"/>
        <v>FCD</v>
      </c>
      <c r="Y22" s="88">
        <v>49</v>
      </c>
      <c r="Z22" s="88">
        <v>26</v>
      </c>
      <c r="AA22" s="257">
        <f t="shared" si="12"/>
        <v>75</v>
      </c>
      <c r="AB22" s="25">
        <f t="shared" si="13"/>
        <v>75</v>
      </c>
      <c r="AC22" s="25" t="str">
        <f t="shared" si="14"/>
        <v>FCD</v>
      </c>
      <c r="AD22" s="88">
        <v>47</v>
      </c>
      <c r="AE22" s="88">
        <v>35</v>
      </c>
      <c r="AF22" s="257">
        <f t="shared" si="15"/>
        <v>82</v>
      </c>
      <c r="AG22" s="25">
        <f t="shared" si="16"/>
        <v>82</v>
      </c>
      <c r="AH22" s="25" t="str">
        <f t="shared" si="17"/>
        <v>FCD</v>
      </c>
      <c r="AI22" s="257">
        <f t="shared" si="18"/>
        <v>580</v>
      </c>
      <c r="AJ22" s="261">
        <f t="shared" si="19"/>
        <v>82.857142857142861</v>
      </c>
      <c r="AK22" s="262" t="str">
        <f t="shared" si="20"/>
        <v>FCD</v>
      </c>
      <c r="AL22" s="11"/>
      <c r="AM22" s="11"/>
      <c r="AN22" s="11"/>
      <c r="AO22" s="11"/>
      <c r="AP22" s="11"/>
      <c r="AQ22" s="11"/>
      <c r="AR22" s="11"/>
      <c r="AS22" s="12"/>
      <c r="AT22" s="11"/>
    </row>
    <row r="23" spans="1:46" s="13" customFormat="1" ht="15.95" customHeight="1" x14ac:dyDescent="0.25">
      <c r="A23" s="170">
        <v>13</v>
      </c>
      <c r="B23" s="171" t="s">
        <v>261</v>
      </c>
      <c r="C23" s="193" t="s">
        <v>13</v>
      </c>
      <c r="D23" s="173" t="s">
        <v>294</v>
      </c>
      <c r="E23" s="174">
        <v>50</v>
      </c>
      <c r="F23" s="174">
        <v>40</v>
      </c>
      <c r="G23" s="175">
        <f t="shared" si="0"/>
        <v>90</v>
      </c>
      <c r="H23" s="176">
        <f t="shared" si="1"/>
        <v>90</v>
      </c>
      <c r="I23" s="28" t="str">
        <f t="shared" si="2"/>
        <v>FCD</v>
      </c>
      <c r="J23" s="174">
        <v>50</v>
      </c>
      <c r="K23" s="174">
        <v>44</v>
      </c>
      <c r="L23" s="251">
        <f t="shared" si="3"/>
        <v>94</v>
      </c>
      <c r="M23" s="177">
        <f t="shared" si="4"/>
        <v>94</v>
      </c>
      <c r="N23" s="39" t="str">
        <f t="shared" si="5"/>
        <v>FCD</v>
      </c>
      <c r="O23" s="174">
        <v>50</v>
      </c>
      <c r="P23" s="174">
        <v>42</v>
      </c>
      <c r="Q23" s="251">
        <f t="shared" si="6"/>
        <v>92</v>
      </c>
      <c r="R23" s="177">
        <f t="shared" si="7"/>
        <v>92</v>
      </c>
      <c r="S23" s="25" t="str">
        <f t="shared" si="8"/>
        <v>FCD</v>
      </c>
      <c r="T23" s="174">
        <v>99</v>
      </c>
      <c r="U23" s="174">
        <v>98</v>
      </c>
      <c r="V23" s="251">
        <f t="shared" si="9"/>
        <v>197</v>
      </c>
      <c r="W23" s="180">
        <f t="shared" si="10"/>
        <v>98.5</v>
      </c>
      <c r="X23" s="25" t="str">
        <f t="shared" si="11"/>
        <v>FCD</v>
      </c>
      <c r="Y23" s="174">
        <v>50</v>
      </c>
      <c r="Z23" s="174">
        <v>39</v>
      </c>
      <c r="AA23" s="260">
        <f t="shared" si="12"/>
        <v>89</v>
      </c>
      <c r="AB23" s="181">
        <f t="shared" si="13"/>
        <v>89</v>
      </c>
      <c r="AC23" s="25" t="str">
        <f t="shared" si="14"/>
        <v>FCD</v>
      </c>
      <c r="AD23" s="174">
        <v>49</v>
      </c>
      <c r="AE23" s="174">
        <v>24</v>
      </c>
      <c r="AF23" s="260">
        <f t="shared" si="15"/>
        <v>73</v>
      </c>
      <c r="AG23" s="181">
        <f t="shared" si="16"/>
        <v>73</v>
      </c>
      <c r="AH23" s="25" t="str">
        <f t="shared" si="17"/>
        <v>FCD</v>
      </c>
      <c r="AI23" s="257">
        <f t="shared" si="18"/>
        <v>635</v>
      </c>
      <c r="AJ23" s="274">
        <f t="shared" si="19"/>
        <v>90.714285714285708</v>
      </c>
      <c r="AK23" s="267" t="str">
        <f t="shared" si="20"/>
        <v>FCD</v>
      </c>
      <c r="AL23" s="11"/>
      <c r="AM23" s="11"/>
      <c r="AN23" s="11"/>
      <c r="AO23" s="11"/>
      <c r="AP23" s="11"/>
      <c r="AQ23" s="11"/>
      <c r="AR23" s="11"/>
      <c r="AS23" s="12"/>
      <c r="AT23" s="11"/>
    </row>
    <row r="24" spans="1:46" s="13" customFormat="1" ht="15.95" hidden="1" customHeight="1" x14ac:dyDescent="0.25">
      <c r="A24" s="83">
        <v>14</v>
      </c>
      <c r="B24" s="86" t="s">
        <v>262</v>
      </c>
      <c r="C24" s="49" t="s">
        <v>15</v>
      </c>
      <c r="D24" s="87" t="s">
        <v>295</v>
      </c>
      <c r="E24" s="88">
        <v>45</v>
      </c>
      <c r="F24" s="88">
        <v>37</v>
      </c>
      <c r="G24" s="27">
        <f t="shared" si="0"/>
        <v>82</v>
      </c>
      <c r="H24" s="29">
        <f t="shared" si="1"/>
        <v>82</v>
      </c>
      <c r="I24" s="28" t="str">
        <f t="shared" si="2"/>
        <v>FCD</v>
      </c>
      <c r="J24" s="88">
        <v>48</v>
      </c>
      <c r="K24" s="88">
        <v>42</v>
      </c>
      <c r="L24" s="247">
        <f t="shared" si="3"/>
        <v>90</v>
      </c>
      <c r="M24" s="28">
        <f t="shared" si="4"/>
        <v>90</v>
      </c>
      <c r="N24" s="39" t="str">
        <f t="shared" si="5"/>
        <v>FCD</v>
      </c>
      <c r="O24" s="88">
        <v>37</v>
      </c>
      <c r="P24" s="88">
        <v>38</v>
      </c>
      <c r="Q24" s="247">
        <f t="shared" si="6"/>
        <v>75</v>
      </c>
      <c r="R24" s="28">
        <f t="shared" si="7"/>
        <v>75</v>
      </c>
      <c r="S24" s="25" t="str">
        <f t="shared" si="8"/>
        <v>FCD</v>
      </c>
      <c r="T24" s="88">
        <v>90</v>
      </c>
      <c r="U24" s="88">
        <v>89</v>
      </c>
      <c r="V24" s="247">
        <f t="shared" si="9"/>
        <v>179</v>
      </c>
      <c r="W24" s="30">
        <f t="shared" si="10"/>
        <v>89.5</v>
      </c>
      <c r="X24" s="25" t="str">
        <f t="shared" si="11"/>
        <v>FCD</v>
      </c>
      <c r="Y24" s="88">
        <v>45</v>
      </c>
      <c r="Z24" s="88">
        <v>34</v>
      </c>
      <c r="AA24" s="257">
        <f t="shared" si="12"/>
        <v>79</v>
      </c>
      <c r="AB24" s="25">
        <f t="shared" si="13"/>
        <v>79</v>
      </c>
      <c r="AC24" s="25" t="str">
        <f t="shared" si="14"/>
        <v>FCD</v>
      </c>
      <c r="AD24" s="88">
        <v>47</v>
      </c>
      <c r="AE24" s="88">
        <v>26</v>
      </c>
      <c r="AF24" s="257">
        <f t="shared" si="15"/>
        <v>73</v>
      </c>
      <c r="AG24" s="25">
        <f t="shared" si="16"/>
        <v>73</v>
      </c>
      <c r="AH24" s="25" t="str">
        <f t="shared" si="17"/>
        <v>FCD</v>
      </c>
      <c r="AI24" s="257">
        <f t="shared" si="18"/>
        <v>578</v>
      </c>
      <c r="AJ24" s="261">
        <f t="shared" si="19"/>
        <v>82.571428571428569</v>
      </c>
      <c r="AK24" s="262" t="str">
        <f t="shared" si="20"/>
        <v>FCD</v>
      </c>
      <c r="AS24" s="12"/>
    </row>
    <row r="25" spans="1:46" ht="15.95" hidden="1" customHeight="1" x14ac:dyDescent="0.25">
      <c r="A25" s="83">
        <v>15</v>
      </c>
      <c r="B25" s="86" t="s">
        <v>263</v>
      </c>
      <c r="C25" s="49" t="s">
        <v>15</v>
      </c>
      <c r="D25" s="87" t="s">
        <v>296</v>
      </c>
      <c r="E25" s="88">
        <v>45</v>
      </c>
      <c r="F25" s="88">
        <v>40</v>
      </c>
      <c r="G25" s="27">
        <f t="shared" si="0"/>
        <v>85</v>
      </c>
      <c r="H25" s="29">
        <f t="shared" si="1"/>
        <v>85</v>
      </c>
      <c r="I25" s="28" t="str">
        <f t="shared" si="2"/>
        <v>FCD</v>
      </c>
      <c r="J25" s="88">
        <v>49</v>
      </c>
      <c r="K25" s="88">
        <v>35</v>
      </c>
      <c r="L25" s="247">
        <f t="shared" si="3"/>
        <v>84</v>
      </c>
      <c r="M25" s="28">
        <f t="shared" si="4"/>
        <v>84</v>
      </c>
      <c r="N25" s="39" t="str">
        <f t="shared" si="5"/>
        <v>FCD</v>
      </c>
      <c r="O25" s="88">
        <v>47</v>
      </c>
      <c r="P25" s="88">
        <v>24</v>
      </c>
      <c r="Q25" s="247">
        <f t="shared" si="6"/>
        <v>71</v>
      </c>
      <c r="R25" s="28">
        <f t="shared" si="7"/>
        <v>71</v>
      </c>
      <c r="S25" s="25" t="str">
        <f t="shared" si="8"/>
        <v>FCD</v>
      </c>
      <c r="T25" s="88">
        <v>95</v>
      </c>
      <c r="U25" s="88">
        <v>97</v>
      </c>
      <c r="V25" s="247">
        <f t="shared" si="9"/>
        <v>192</v>
      </c>
      <c r="W25" s="30">
        <f t="shared" si="10"/>
        <v>96</v>
      </c>
      <c r="X25" s="25" t="str">
        <f t="shared" si="11"/>
        <v>FCD</v>
      </c>
      <c r="Y25" s="88">
        <v>50</v>
      </c>
      <c r="Z25" s="88">
        <v>39</v>
      </c>
      <c r="AA25" s="257">
        <f t="shared" si="12"/>
        <v>89</v>
      </c>
      <c r="AB25" s="25">
        <f t="shared" si="13"/>
        <v>89</v>
      </c>
      <c r="AC25" s="25" t="str">
        <f t="shared" si="14"/>
        <v>FCD</v>
      </c>
      <c r="AD25" s="88">
        <v>45</v>
      </c>
      <c r="AE25" s="88">
        <v>26</v>
      </c>
      <c r="AF25" s="257">
        <f t="shared" si="15"/>
        <v>71</v>
      </c>
      <c r="AG25" s="25">
        <f t="shared" si="16"/>
        <v>71</v>
      </c>
      <c r="AH25" s="25" t="str">
        <f t="shared" si="17"/>
        <v>FCD</v>
      </c>
      <c r="AI25" s="257">
        <f t="shared" si="18"/>
        <v>592</v>
      </c>
      <c r="AJ25" s="261">
        <f t="shared" si="19"/>
        <v>84.571428571428569</v>
      </c>
      <c r="AK25" s="262" t="str">
        <f t="shared" si="20"/>
        <v>FCD</v>
      </c>
      <c r="AL25" s="1"/>
      <c r="AM25" s="1"/>
      <c r="AN25" s="1"/>
      <c r="AO25" s="1"/>
      <c r="AP25" s="1"/>
      <c r="AQ25" s="1"/>
      <c r="AR25" s="1"/>
      <c r="AS25" s="1"/>
      <c r="AT25" s="1"/>
    </row>
    <row r="26" spans="1:46" s="13" customFormat="1" ht="15.95" hidden="1" customHeight="1" x14ac:dyDescent="0.25">
      <c r="A26" s="83">
        <v>16</v>
      </c>
      <c r="B26" s="86" t="s">
        <v>264</v>
      </c>
      <c r="C26" s="49" t="s">
        <v>13</v>
      </c>
      <c r="D26" s="87" t="s">
        <v>297</v>
      </c>
      <c r="E26" s="88">
        <v>48</v>
      </c>
      <c r="F26" s="88">
        <v>39</v>
      </c>
      <c r="G26" s="27">
        <f t="shared" si="0"/>
        <v>87</v>
      </c>
      <c r="H26" s="29">
        <f t="shared" si="1"/>
        <v>87</v>
      </c>
      <c r="I26" s="28" t="str">
        <f t="shared" si="2"/>
        <v>FCD</v>
      </c>
      <c r="J26" s="88">
        <v>48</v>
      </c>
      <c r="K26" s="88">
        <v>38</v>
      </c>
      <c r="L26" s="247">
        <f t="shared" si="3"/>
        <v>86</v>
      </c>
      <c r="M26" s="28">
        <f t="shared" si="4"/>
        <v>86</v>
      </c>
      <c r="N26" s="39" t="str">
        <f t="shared" si="5"/>
        <v>FCD</v>
      </c>
      <c r="O26" s="136">
        <v>42</v>
      </c>
      <c r="P26" s="136">
        <v>12</v>
      </c>
      <c r="Q26" s="250">
        <f t="shared" si="6"/>
        <v>54</v>
      </c>
      <c r="R26" s="31">
        <f t="shared" si="7"/>
        <v>54</v>
      </c>
      <c r="S26" s="33" t="str">
        <f t="shared" si="8"/>
        <v>F</v>
      </c>
      <c r="T26" s="88">
        <v>84</v>
      </c>
      <c r="U26" s="88">
        <v>91</v>
      </c>
      <c r="V26" s="247">
        <f t="shared" si="9"/>
        <v>175</v>
      </c>
      <c r="W26" s="30">
        <f t="shared" si="10"/>
        <v>87.5</v>
      </c>
      <c r="X26" s="25" t="str">
        <f t="shared" si="11"/>
        <v>FCD</v>
      </c>
      <c r="Y26" s="88">
        <v>49</v>
      </c>
      <c r="Z26" s="88">
        <v>37</v>
      </c>
      <c r="AA26" s="257">
        <f t="shared" si="12"/>
        <v>86</v>
      </c>
      <c r="AB26" s="25">
        <f t="shared" si="13"/>
        <v>86</v>
      </c>
      <c r="AC26" s="25" t="str">
        <f t="shared" si="14"/>
        <v>FCD</v>
      </c>
      <c r="AD26" s="88">
        <v>46</v>
      </c>
      <c r="AE26" s="88">
        <v>25</v>
      </c>
      <c r="AF26" s="257">
        <f t="shared" si="15"/>
        <v>71</v>
      </c>
      <c r="AG26" s="25">
        <f t="shared" si="16"/>
        <v>71</v>
      </c>
      <c r="AH26" s="25" t="str">
        <f t="shared" si="17"/>
        <v>FCD</v>
      </c>
      <c r="AI26" s="257">
        <f t="shared" si="18"/>
        <v>559</v>
      </c>
      <c r="AJ26" s="261">
        <f t="shared" si="19"/>
        <v>79.857142857142861</v>
      </c>
      <c r="AK26" s="266" t="s">
        <v>322</v>
      </c>
      <c r="AL26" s="11"/>
      <c r="AM26" s="11"/>
      <c r="AN26" s="11"/>
      <c r="AO26" s="11"/>
      <c r="AP26" s="11"/>
      <c r="AQ26" s="11"/>
      <c r="AR26" s="11"/>
      <c r="AS26" s="11"/>
      <c r="AT26" s="11"/>
    </row>
    <row r="27" spans="1:46" ht="15.95" hidden="1" customHeight="1" x14ac:dyDescent="0.25">
      <c r="A27" s="83">
        <v>17</v>
      </c>
      <c r="B27" s="86" t="s">
        <v>265</v>
      </c>
      <c r="C27" s="49" t="s">
        <v>13</v>
      </c>
      <c r="D27" s="87" t="s">
        <v>298</v>
      </c>
      <c r="E27" s="88">
        <v>48</v>
      </c>
      <c r="F27" s="88">
        <v>40</v>
      </c>
      <c r="G27" s="27">
        <f t="shared" si="0"/>
        <v>88</v>
      </c>
      <c r="H27" s="29">
        <f t="shared" si="1"/>
        <v>88</v>
      </c>
      <c r="I27" s="28" t="str">
        <f t="shared" si="2"/>
        <v>FCD</v>
      </c>
      <c r="J27" s="88">
        <v>47</v>
      </c>
      <c r="K27" s="88">
        <v>42</v>
      </c>
      <c r="L27" s="247">
        <f t="shared" si="3"/>
        <v>89</v>
      </c>
      <c r="M27" s="28">
        <f t="shared" si="4"/>
        <v>89</v>
      </c>
      <c r="N27" s="39" t="str">
        <f t="shared" si="5"/>
        <v>FCD</v>
      </c>
      <c r="O27" s="88">
        <v>50</v>
      </c>
      <c r="P27" s="88">
        <v>31</v>
      </c>
      <c r="Q27" s="247">
        <f t="shared" si="6"/>
        <v>81</v>
      </c>
      <c r="R27" s="28">
        <f t="shared" si="7"/>
        <v>81</v>
      </c>
      <c r="S27" s="25" t="str">
        <f t="shared" si="8"/>
        <v>FCD</v>
      </c>
      <c r="T27" s="88">
        <v>84</v>
      </c>
      <c r="U27" s="88">
        <v>91</v>
      </c>
      <c r="V27" s="247">
        <f t="shared" si="9"/>
        <v>175</v>
      </c>
      <c r="W27" s="30">
        <f t="shared" si="10"/>
        <v>87.5</v>
      </c>
      <c r="X27" s="25" t="str">
        <f t="shared" si="11"/>
        <v>FCD</v>
      </c>
      <c r="Y27" s="88">
        <v>50</v>
      </c>
      <c r="Z27" s="88">
        <v>42</v>
      </c>
      <c r="AA27" s="257">
        <f t="shared" si="12"/>
        <v>92</v>
      </c>
      <c r="AB27" s="25">
        <f t="shared" si="13"/>
        <v>92</v>
      </c>
      <c r="AC27" s="25" t="str">
        <f t="shared" si="14"/>
        <v>FCD</v>
      </c>
      <c r="AD27" s="88">
        <v>49</v>
      </c>
      <c r="AE27" s="88">
        <v>38</v>
      </c>
      <c r="AF27" s="257">
        <f t="shared" si="15"/>
        <v>87</v>
      </c>
      <c r="AG27" s="25">
        <f t="shared" si="16"/>
        <v>87</v>
      </c>
      <c r="AH27" s="25" t="str">
        <f t="shared" si="17"/>
        <v>FCD</v>
      </c>
      <c r="AI27" s="257">
        <f t="shared" si="18"/>
        <v>612</v>
      </c>
      <c r="AJ27" s="261">
        <f t="shared" si="19"/>
        <v>87.428571428571431</v>
      </c>
      <c r="AK27" s="262" t="str">
        <f t="shared" si="20"/>
        <v>FCD</v>
      </c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5.95" hidden="1" customHeight="1" x14ac:dyDescent="0.25">
      <c r="A28" s="83">
        <v>18</v>
      </c>
      <c r="B28" s="86" t="s">
        <v>266</v>
      </c>
      <c r="C28" s="49" t="s">
        <v>13</v>
      </c>
      <c r="D28" s="87" t="s">
        <v>299</v>
      </c>
      <c r="E28" s="88">
        <v>45</v>
      </c>
      <c r="F28" s="88">
        <v>40</v>
      </c>
      <c r="G28" s="27">
        <f t="shared" si="0"/>
        <v>85</v>
      </c>
      <c r="H28" s="29">
        <f t="shared" si="1"/>
        <v>85</v>
      </c>
      <c r="I28" s="28" t="str">
        <f t="shared" si="2"/>
        <v>FCD</v>
      </c>
      <c r="J28" s="88">
        <v>49</v>
      </c>
      <c r="K28" s="88">
        <v>42</v>
      </c>
      <c r="L28" s="247">
        <f t="shared" si="3"/>
        <v>91</v>
      </c>
      <c r="M28" s="28">
        <f t="shared" si="4"/>
        <v>91</v>
      </c>
      <c r="N28" s="39" t="str">
        <f t="shared" si="5"/>
        <v>FCD</v>
      </c>
      <c r="O28" s="88">
        <v>48</v>
      </c>
      <c r="P28" s="88">
        <v>23</v>
      </c>
      <c r="Q28" s="247">
        <f t="shared" si="6"/>
        <v>71</v>
      </c>
      <c r="R28" s="28">
        <f t="shared" si="7"/>
        <v>71</v>
      </c>
      <c r="S28" s="25" t="str">
        <f t="shared" si="8"/>
        <v>FCD</v>
      </c>
      <c r="T28" s="88">
        <v>84</v>
      </c>
      <c r="U28" s="88">
        <v>93</v>
      </c>
      <c r="V28" s="247">
        <f t="shared" si="9"/>
        <v>177</v>
      </c>
      <c r="W28" s="30">
        <f t="shared" si="10"/>
        <v>88.5</v>
      </c>
      <c r="X28" s="25" t="str">
        <f t="shared" si="11"/>
        <v>FCD</v>
      </c>
      <c r="Y28" s="88">
        <v>47</v>
      </c>
      <c r="Z28" s="88">
        <v>35</v>
      </c>
      <c r="AA28" s="257">
        <f t="shared" si="12"/>
        <v>82</v>
      </c>
      <c r="AB28" s="25">
        <f t="shared" si="13"/>
        <v>82</v>
      </c>
      <c r="AC28" s="25" t="str">
        <f t="shared" si="14"/>
        <v>FCD</v>
      </c>
      <c r="AD28" s="88">
        <v>45</v>
      </c>
      <c r="AE28" s="88">
        <v>36</v>
      </c>
      <c r="AF28" s="257">
        <f t="shared" si="15"/>
        <v>81</v>
      </c>
      <c r="AG28" s="25">
        <f t="shared" si="16"/>
        <v>81</v>
      </c>
      <c r="AH28" s="25" t="str">
        <f t="shared" si="17"/>
        <v>FCD</v>
      </c>
      <c r="AI28" s="257">
        <f t="shared" si="18"/>
        <v>587</v>
      </c>
      <c r="AJ28" s="261">
        <f t="shared" si="19"/>
        <v>83.857142857142861</v>
      </c>
      <c r="AK28" s="262" t="str">
        <f t="shared" si="20"/>
        <v>FCD</v>
      </c>
    </row>
    <row r="29" spans="1:46" ht="15.95" hidden="1" customHeight="1" x14ac:dyDescent="0.25">
      <c r="A29" s="83">
        <v>19</v>
      </c>
      <c r="B29" s="86" t="s">
        <v>267</v>
      </c>
      <c r="C29" s="47" t="s">
        <v>13</v>
      </c>
      <c r="D29" s="87" t="s">
        <v>300</v>
      </c>
      <c r="E29" s="88">
        <v>49</v>
      </c>
      <c r="F29" s="88">
        <v>38</v>
      </c>
      <c r="G29" s="27">
        <f t="shared" si="0"/>
        <v>87</v>
      </c>
      <c r="H29" s="29">
        <f t="shared" si="1"/>
        <v>87</v>
      </c>
      <c r="I29" s="28" t="str">
        <f t="shared" si="2"/>
        <v>FCD</v>
      </c>
      <c r="J29" s="88">
        <v>49</v>
      </c>
      <c r="K29" s="88">
        <v>37</v>
      </c>
      <c r="L29" s="247">
        <f t="shared" si="3"/>
        <v>86</v>
      </c>
      <c r="M29" s="28">
        <f t="shared" si="4"/>
        <v>86</v>
      </c>
      <c r="N29" s="39" t="str">
        <f t="shared" si="5"/>
        <v>FCD</v>
      </c>
      <c r="O29" s="88">
        <v>48</v>
      </c>
      <c r="P29" s="88">
        <v>32</v>
      </c>
      <c r="Q29" s="247">
        <f t="shared" si="6"/>
        <v>80</v>
      </c>
      <c r="R29" s="28">
        <f t="shared" si="7"/>
        <v>80</v>
      </c>
      <c r="S29" s="25" t="str">
        <f t="shared" si="8"/>
        <v>FCD</v>
      </c>
      <c r="T29" s="88">
        <v>84</v>
      </c>
      <c r="U29" s="88">
        <v>91</v>
      </c>
      <c r="V29" s="247">
        <f t="shared" si="9"/>
        <v>175</v>
      </c>
      <c r="W29" s="30">
        <f t="shared" si="10"/>
        <v>87.5</v>
      </c>
      <c r="X29" s="25" t="str">
        <f t="shared" si="11"/>
        <v>FCD</v>
      </c>
      <c r="Y29" s="88">
        <v>49</v>
      </c>
      <c r="Z29" s="88">
        <v>39</v>
      </c>
      <c r="AA29" s="257">
        <f t="shared" si="12"/>
        <v>88</v>
      </c>
      <c r="AB29" s="25">
        <f t="shared" si="13"/>
        <v>88</v>
      </c>
      <c r="AC29" s="25" t="str">
        <f t="shared" si="14"/>
        <v>FCD</v>
      </c>
      <c r="AD29" s="88">
        <v>46</v>
      </c>
      <c r="AE29" s="88">
        <v>33</v>
      </c>
      <c r="AF29" s="257">
        <f t="shared" si="15"/>
        <v>79</v>
      </c>
      <c r="AG29" s="25">
        <f t="shared" si="16"/>
        <v>79</v>
      </c>
      <c r="AH29" s="25" t="str">
        <f t="shared" si="17"/>
        <v>FCD</v>
      </c>
      <c r="AI29" s="257">
        <f t="shared" si="18"/>
        <v>595</v>
      </c>
      <c r="AJ29" s="261">
        <f t="shared" si="19"/>
        <v>85</v>
      </c>
      <c r="AK29" s="262" t="str">
        <f t="shared" si="20"/>
        <v>FCD</v>
      </c>
      <c r="AL29" s="1"/>
      <c r="AM29" s="1"/>
      <c r="AN29" s="1"/>
      <c r="AO29" s="1"/>
      <c r="AP29" s="1"/>
      <c r="AQ29" s="1"/>
      <c r="AR29" s="1"/>
      <c r="AS29" s="1"/>
      <c r="AT29" s="1"/>
    </row>
    <row r="30" spans="1:46" s="13" customFormat="1" ht="15.95" hidden="1" customHeight="1" x14ac:dyDescent="0.25">
      <c r="A30" s="83">
        <v>20</v>
      </c>
      <c r="B30" s="86" t="s">
        <v>268</v>
      </c>
      <c r="C30" s="48" t="s">
        <v>13</v>
      </c>
      <c r="D30" s="87" t="s">
        <v>301</v>
      </c>
      <c r="E30" s="88">
        <v>47</v>
      </c>
      <c r="F30" s="88">
        <v>41</v>
      </c>
      <c r="G30" s="27">
        <f t="shared" si="0"/>
        <v>88</v>
      </c>
      <c r="H30" s="29">
        <f t="shared" si="1"/>
        <v>88</v>
      </c>
      <c r="I30" s="28" t="str">
        <f t="shared" si="2"/>
        <v>FCD</v>
      </c>
      <c r="J30" s="88">
        <v>47</v>
      </c>
      <c r="K30" s="88">
        <v>34</v>
      </c>
      <c r="L30" s="247">
        <f t="shared" si="3"/>
        <v>81</v>
      </c>
      <c r="M30" s="28">
        <f t="shared" si="4"/>
        <v>81</v>
      </c>
      <c r="N30" s="39" t="str">
        <f t="shared" si="5"/>
        <v>FCD</v>
      </c>
      <c r="O30" s="88">
        <v>50</v>
      </c>
      <c r="P30" s="88">
        <v>28</v>
      </c>
      <c r="Q30" s="247">
        <f t="shared" si="6"/>
        <v>78</v>
      </c>
      <c r="R30" s="28">
        <f t="shared" si="7"/>
        <v>78</v>
      </c>
      <c r="S30" s="25" t="str">
        <f t="shared" si="8"/>
        <v>FCD</v>
      </c>
      <c r="T30" s="88">
        <v>84</v>
      </c>
      <c r="U30" s="88">
        <v>92</v>
      </c>
      <c r="V30" s="247">
        <f t="shared" si="9"/>
        <v>176</v>
      </c>
      <c r="W30" s="30">
        <f t="shared" si="10"/>
        <v>88</v>
      </c>
      <c r="X30" s="25" t="str">
        <f t="shared" si="11"/>
        <v>FCD</v>
      </c>
      <c r="Y30" s="88">
        <v>50</v>
      </c>
      <c r="Z30" s="88">
        <v>40</v>
      </c>
      <c r="AA30" s="257">
        <f t="shared" si="12"/>
        <v>90</v>
      </c>
      <c r="AB30" s="25">
        <f t="shared" si="13"/>
        <v>90</v>
      </c>
      <c r="AC30" s="25" t="str">
        <f t="shared" si="14"/>
        <v>FCD</v>
      </c>
      <c r="AD30" s="88">
        <v>48</v>
      </c>
      <c r="AE30" s="88">
        <v>32</v>
      </c>
      <c r="AF30" s="257">
        <f t="shared" si="15"/>
        <v>80</v>
      </c>
      <c r="AG30" s="25">
        <f t="shared" si="16"/>
        <v>80</v>
      </c>
      <c r="AH30" s="25" t="str">
        <f t="shared" si="17"/>
        <v>FCD</v>
      </c>
      <c r="AI30" s="257">
        <f t="shared" si="18"/>
        <v>593</v>
      </c>
      <c r="AJ30" s="261">
        <f t="shared" si="19"/>
        <v>84.714285714285708</v>
      </c>
      <c r="AK30" s="262" t="str">
        <f t="shared" si="20"/>
        <v>FCD</v>
      </c>
    </row>
    <row r="31" spans="1:46" s="13" customFormat="1" ht="15.95" hidden="1" customHeight="1" x14ac:dyDescent="0.25">
      <c r="A31" s="83">
        <v>21</v>
      </c>
      <c r="B31" s="86" t="s">
        <v>269</v>
      </c>
      <c r="C31" s="47" t="s">
        <v>13</v>
      </c>
      <c r="D31" s="87" t="s">
        <v>302</v>
      </c>
      <c r="E31" s="88">
        <v>46</v>
      </c>
      <c r="F31" s="88">
        <v>40</v>
      </c>
      <c r="G31" s="27">
        <f t="shared" si="0"/>
        <v>86</v>
      </c>
      <c r="H31" s="29">
        <f t="shared" si="1"/>
        <v>86</v>
      </c>
      <c r="I31" s="28" t="str">
        <f t="shared" si="2"/>
        <v>FCD</v>
      </c>
      <c r="J31" s="88">
        <v>48</v>
      </c>
      <c r="K31" s="88">
        <v>44</v>
      </c>
      <c r="L31" s="247">
        <f t="shared" si="3"/>
        <v>92</v>
      </c>
      <c r="M31" s="28">
        <f t="shared" si="4"/>
        <v>92</v>
      </c>
      <c r="N31" s="39" t="str">
        <f t="shared" si="5"/>
        <v>FCD</v>
      </c>
      <c r="O31" s="88">
        <v>46</v>
      </c>
      <c r="P31" s="88">
        <v>25</v>
      </c>
      <c r="Q31" s="247">
        <f t="shared" si="6"/>
        <v>71</v>
      </c>
      <c r="R31" s="28">
        <f t="shared" si="7"/>
        <v>71</v>
      </c>
      <c r="S31" s="25" t="str">
        <f t="shared" si="8"/>
        <v>FCD</v>
      </c>
      <c r="T31" s="88">
        <v>97</v>
      </c>
      <c r="U31" s="88">
        <v>98</v>
      </c>
      <c r="V31" s="247">
        <f t="shared" si="9"/>
        <v>195</v>
      </c>
      <c r="W31" s="30">
        <f t="shared" si="10"/>
        <v>97.5</v>
      </c>
      <c r="X31" s="25" t="str">
        <f t="shared" si="11"/>
        <v>FCD</v>
      </c>
      <c r="Y31" s="88">
        <v>50</v>
      </c>
      <c r="Z31" s="88">
        <v>42</v>
      </c>
      <c r="AA31" s="257">
        <f t="shared" si="12"/>
        <v>92</v>
      </c>
      <c r="AB31" s="25">
        <f t="shared" si="13"/>
        <v>92</v>
      </c>
      <c r="AC31" s="25" t="str">
        <f t="shared" si="14"/>
        <v>FCD</v>
      </c>
      <c r="AD31" s="88">
        <v>45</v>
      </c>
      <c r="AE31" s="88">
        <v>22</v>
      </c>
      <c r="AF31" s="257">
        <f t="shared" si="15"/>
        <v>67</v>
      </c>
      <c r="AG31" s="25">
        <f t="shared" si="16"/>
        <v>67</v>
      </c>
      <c r="AH31" s="25" t="str">
        <f t="shared" si="17"/>
        <v>FC</v>
      </c>
      <c r="AI31" s="257">
        <f t="shared" si="18"/>
        <v>603</v>
      </c>
      <c r="AJ31" s="261">
        <f t="shared" si="19"/>
        <v>86.142857142857139</v>
      </c>
      <c r="AK31" s="262" t="str">
        <f t="shared" si="20"/>
        <v>FCD</v>
      </c>
      <c r="AL31" s="11"/>
      <c r="AM31" s="11"/>
      <c r="AN31" s="11"/>
      <c r="AO31" s="11"/>
      <c r="AP31" s="11"/>
      <c r="AQ31" s="11"/>
      <c r="AR31" s="11"/>
      <c r="AS31" s="12"/>
      <c r="AT31" s="11"/>
    </row>
    <row r="32" spans="1:46" s="13" customFormat="1" ht="15.95" hidden="1" customHeight="1" x14ac:dyDescent="0.25">
      <c r="A32" s="83">
        <v>22</v>
      </c>
      <c r="B32" s="86" t="s">
        <v>270</v>
      </c>
      <c r="C32" s="49" t="s">
        <v>15</v>
      </c>
      <c r="D32" s="87" t="s">
        <v>303</v>
      </c>
      <c r="E32" s="88">
        <v>45</v>
      </c>
      <c r="F32" s="88">
        <v>36</v>
      </c>
      <c r="G32" s="27">
        <f t="shared" si="0"/>
        <v>81</v>
      </c>
      <c r="H32" s="29">
        <f t="shared" si="1"/>
        <v>81</v>
      </c>
      <c r="I32" s="28" t="str">
        <f t="shared" si="2"/>
        <v>FCD</v>
      </c>
      <c r="J32" s="88">
        <v>46</v>
      </c>
      <c r="K32" s="88">
        <v>31</v>
      </c>
      <c r="L32" s="247">
        <f t="shared" si="3"/>
        <v>77</v>
      </c>
      <c r="M32" s="28">
        <f t="shared" si="4"/>
        <v>77</v>
      </c>
      <c r="N32" s="39" t="str">
        <f t="shared" si="5"/>
        <v>FCD</v>
      </c>
      <c r="O32" s="88">
        <v>43</v>
      </c>
      <c r="P32" s="88">
        <v>32</v>
      </c>
      <c r="Q32" s="247">
        <f t="shared" si="6"/>
        <v>75</v>
      </c>
      <c r="R32" s="28">
        <f t="shared" si="7"/>
        <v>75</v>
      </c>
      <c r="S32" s="25" t="str">
        <f t="shared" si="8"/>
        <v>FCD</v>
      </c>
      <c r="T32" s="88">
        <v>94</v>
      </c>
      <c r="U32" s="88">
        <v>92</v>
      </c>
      <c r="V32" s="247">
        <f t="shared" si="9"/>
        <v>186</v>
      </c>
      <c r="W32" s="30">
        <f t="shared" si="10"/>
        <v>93</v>
      </c>
      <c r="X32" s="25" t="str">
        <f t="shared" si="11"/>
        <v>FCD</v>
      </c>
      <c r="Y32" s="88">
        <v>50</v>
      </c>
      <c r="Z32" s="88">
        <v>31</v>
      </c>
      <c r="AA32" s="257">
        <f t="shared" si="12"/>
        <v>81</v>
      </c>
      <c r="AB32" s="25">
        <f t="shared" si="13"/>
        <v>81</v>
      </c>
      <c r="AC32" s="25" t="str">
        <f t="shared" si="14"/>
        <v>FCD</v>
      </c>
      <c r="AD32" s="88">
        <v>45</v>
      </c>
      <c r="AE32" s="88">
        <v>25</v>
      </c>
      <c r="AF32" s="257">
        <f t="shared" si="15"/>
        <v>70</v>
      </c>
      <c r="AG32" s="25">
        <f t="shared" si="16"/>
        <v>70</v>
      </c>
      <c r="AH32" s="25" t="str">
        <f t="shared" si="17"/>
        <v>FCD</v>
      </c>
      <c r="AI32" s="257">
        <f t="shared" si="18"/>
        <v>570</v>
      </c>
      <c r="AJ32" s="261">
        <f t="shared" si="19"/>
        <v>81.428571428571431</v>
      </c>
      <c r="AK32" s="262" t="str">
        <f t="shared" si="20"/>
        <v>FCD</v>
      </c>
      <c r="AL32" s="11"/>
      <c r="AM32" s="11"/>
      <c r="AN32" s="11"/>
      <c r="AO32" s="11"/>
      <c r="AP32" s="11"/>
      <c r="AQ32" s="11"/>
      <c r="AR32" s="11"/>
      <c r="AS32" s="12"/>
      <c r="AT32" s="11"/>
    </row>
    <row r="33" spans="1:45" s="13" customFormat="1" ht="15.75" x14ac:dyDescent="0.25">
      <c r="A33" s="138">
        <v>23</v>
      </c>
      <c r="B33" s="139" t="s">
        <v>271</v>
      </c>
      <c r="C33" s="190" t="s">
        <v>15</v>
      </c>
      <c r="D33" s="141" t="s">
        <v>304</v>
      </c>
      <c r="E33" s="146">
        <v>48</v>
      </c>
      <c r="F33" s="146">
        <v>40</v>
      </c>
      <c r="G33" s="143">
        <f t="shared" si="0"/>
        <v>88</v>
      </c>
      <c r="H33" s="144">
        <f t="shared" si="1"/>
        <v>88</v>
      </c>
      <c r="I33" s="28" t="str">
        <f t="shared" si="2"/>
        <v>FCD</v>
      </c>
      <c r="J33" s="146">
        <v>50</v>
      </c>
      <c r="K33" s="146">
        <v>48</v>
      </c>
      <c r="L33" s="248">
        <f t="shared" si="3"/>
        <v>98</v>
      </c>
      <c r="M33" s="145">
        <f t="shared" si="4"/>
        <v>98</v>
      </c>
      <c r="N33" s="39" t="str">
        <f t="shared" si="5"/>
        <v>FCD</v>
      </c>
      <c r="O33" s="146">
        <v>48</v>
      </c>
      <c r="P33" s="146">
        <v>46</v>
      </c>
      <c r="Q33" s="248">
        <f t="shared" si="6"/>
        <v>94</v>
      </c>
      <c r="R33" s="145">
        <f t="shared" si="7"/>
        <v>94</v>
      </c>
      <c r="S33" s="25" t="str">
        <f t="shared" si="8"/>
        <v>FCD</v>
      </c>
      <c r="T33" s="146">
        <v>95</v>
      </c>
      <c r="U33" s="146">
        <v>95</v>
      </c>
      <c r="V33" s="248">
        <f t="shared" si="9"/>
        <v>190</v>
      </c>
      <c r="W33" s="148">
        <f t="shared" si="10"/>
        <v>95</v>
      </c>
      <c r="X33" s="25" t="str">
        <f t="shared" si="11"/>
        <v>FCD</v>
      </c>
      <c r="Y33" s="146">
        <v>50</v>
      </c>
      <c r="Z33" s="146">
        <v>39</v>
      </c>
      <c r="AA33" s="258">
        <f t="shared" si="12"/>
        <v>89</v>
      </c>
      <c r="AB33" s="149">
        <f t="shared" si="13"/>
        <v>89</v>
      </c>
      <c r="AC33" s="25" t="str">
        <f t="shared" si="14"/>
        <v>FCD</v>
      </c>
      <c r="AD33" s="146">
        <v>49</v>
      </c>
      <c r="AE33" s="146">
        <v>38</v>
      </c>
      <c r="AF33" s="258">
        <f t="shared" si="15"/>
        <v>87</v>
      </c>
      <c r="AG33" s="149">
        <f t="shared" si="16"/>
        <v>87</v>
      </c>
      <c r="AH33" s="25" t="str">
        <f t="shared" si="17"/>
        <v>FCD</v>
      </c>
      <c r="AI33" s="257">
        <f t="shared" si="18"/>
        <v>646</v>
      </c>
      <c r="AJ33" s="271">
        <f t="shared" si="19"/>
        <v>92.285714285714292</v>
      </c>
      <c r="AK33" s="263" t="str">
        <f t="shared" si="20"/>
        <v>FCD</v>
      </c>
      <c r="AL33" s="11"/>
      <c r="AM33" s="11"/>
      <c r="AN33" s="11"/>
      <c r="AO33" s="11"/>
      <c r="AP33" s="11"/>
      <c r="AQ33" s="11"/>
      <c r="AR33" s="11"/>
      <c r="AS33" s="12"/>
    </row>
    <row r="34" spans="1:45" s="13" customFormat="1" ht="15.75" hidden="1" x14ac:dyDescent="0.25">
      <c r="A34" s="83">
        <v>24</v>
      </c>
      <c r="B34" s="86" t="s">
        <v>272</v>
      </c>
      <c r="C34" s="49" t="s">
        <v>15</v>
      </c>
      <c r="D34" s="87" t="s">
        <v>305</v>
      </c>
      <c r="E34" s="88">
        <v>46</v>
      </c>
      <c r="F34" s="88">
        <v>40</v>
      </c>
      <c r="G34" s="27">
        <f t="shared" si="0"/>
        <v>86</v>
      </c>
      <c r="H34" s="29">
        <f t="shared" si="1"/>
        <v>86</v>
      </c>
      <c r="I34" s="28" t="str">
        <f t="shared" si="2"/>
        <v>FCD</v>
      </c>
      <c r="J34" s="88">
        <v>48</v>
      </c>
      <c r="K34" s="88">
        <v>36</v>
      </c>
      <c r="L34" s="247">
        <f t="shared" si="3"/>
        <v>84</v>
      </c>
      <c r="M34" s="28">
        <f t="shared" si="4"/>
        <v>84</v>
      </c>
      <c r="N34" s="39" t="str">
        <f t="shared" si="5"/>
        <v>FCD</v>
      </c>
      <c r="O34" s="88">
        <v>50</v>
      </c>
      <c r="P34" s="88">
        <v>22</v>
      </c>
      <c r="Q34" s="247">
        <f t="shared" si="6"/>
        <v>72</v>
      </c>
      <c r="R34" s="28">
        <f t="shared" si="7"/>
        <v>72</v>
      </c>
      <c r="S34" s="25" t="str">
        <f t="shared" si="8"/>
        <v>FCD</v>
      </c>
      <c r="T34" s="88">
        <v>97</v>
      </c>
      <c r="U34" s="88">
        <v>94</v>
      </c>
      <c r="V34" s="247">
        <f t="shared" si="9"/>
        <v>191</v>
      </c>
      <c r="W34" s="30">
        <f t="shared" si="10"/>
        <v>95.5</v>
      </c>
      <c r="X34" s="25" t="str">
        <f t="shared" si="11"/>
        <v>FCD</v>
      </c>
      <c r="Y34" s="88">
        <v>50</v>
      </c>
      <c r="Z34" s="88">
        <v>42</v>
      </c>
      <c r="AA34" s="257">
        <f t="shared" si="12"/>
        <v>92</v>
      </c>
      <c r="AB34" s="25">
        <f t="shared" si="13"/>
        <v>92</v>
      </c>
      <c r="AC34" s="25" t="str">
        <f t="shared" si="14"/>
        <v>FCD</v>
      </c>
      <c r="AD34" s="88">
        <v>48</v>
      </c>
      <c r="AE34" s="88">
        <v>38</v>
      </c>
      <c r="AF34" s="257">
        <f t="shared" si="15"/>
        <v>86</v>
      </c>
      <c r="AG34" s="25">
        <f t="shared" si="16"/>
        <v>86</v>
      </c>
      <c r="AH34" s="25" t="str">
        <f t="shared" si="17"/>
        <v>FCD</v>
      </c>
      <c r="AI34" s="257">
        <f t="shared" si="18"/>
        <v>611</v>
      </c>
      <c r="AJ34" s="261">
        <f t="shared" si="19"/>
        <v>87.285714285714292</v>
      </c>
      <c r="AK34" s="262" t="str">
        <f t="shared" si="20"/>
        <v>FCD</v>
      </c>
      <c r="AL34" s="11"/>
      <c r="AM34" s="11"/>
      <c r="AN34" s="11"/>
      <c r="AO34" s="11"/>
      <c r="AP34" s="11"/>
      <c r="AQ34" s="11"/>
      <c r="AR34" s="11"/>
      <c r="AS34" s="12"/>
    </row>
    <row r="35" spans="1:45" ht="15.75" hidden="1" x14ac:dyDescent="0.25">
      <c r="A35" s="83">
        <v>25</v>
      </c>
      <c r="B35" s="86" t="s">
        <v>273</v>
      </c>
      <c r="C35" s="47" t="s">
        <v>13</v>
      </c>
      <c r="D35" s="87" t="s">
        <v>306</v>
      </c>
      <c r="E35" s="88">
        <v>43</v>
      </c>
      <c r="F35" s="88">
        <v>39</v>
      </c>
      <c r="G35" s="27">
        <f t="shared" si="0"/>
        <v>82</v>
      </c>
      <c r="H35" s="29">
        <f t="shared" si="1"/>
        <v>82</v>
      </c>
      <c r="I35" s="28" t="str">
        <f t="shared" si="2"/>
        <v>FCD</v>
      </c>
      <c r="J35" s="88">
        <v>49</v>
      </c>
      <c r="K35" s="88">
        <v>37</v>
      </c>
      <c r="L35" s="247">
        <f t="shared" si="3"/>
        <v>86</v>
      </c>
      <c r="M35" s="28">
        <f t="shared" si="4"/>
        <v>86</v>
      </c>
      <c r="N35" s="39" t="str">
        <f t="shared" si="5"/>
        <v>FCD</v>
      </c>
      <c r="O35" s="88">
        <v>43</v>
      </c>
      <c r="P35" s="88">
        <v>24</v>
      </c>
      <c r="Q35" s="247">
        <f t="shared" si="6"/>
        <v>67</v>
      </c>
      <c r="R35" s="28">
        <f t="shared" si="7"/>
        <v>67</v>
      </c>
      <c r="S35" s="25" t="str">
        <f t="shared" si="8"/>
        <v>FC</v>
      </c>
      <c r="T35" s="88">
        <v>95</v>
      </c>
      <c r="U35" s="88">
        <v>95</v>
      </c>
      <c r="V35" s="247">
        <f t="shared" si="9"/>
        <v>190</v>
      </c>
      <c r="W35" s="30">
        <f t="shared" si="10"/>
        <v>95</v>
      </c>
      <c r="X35" s="25" t="str">
        <f t="shared" si="11"/>
        <v>FCD</v>
      </c>
      <c r="Y35" s="88">
        <v>48</v>
      </c>
      <c r="Z35" s="88">
        <v>35</v>
      </c>
      <c r="AA35" s="257">
        <f t="shared" si="12"/>
        <v>83</v>
      </c>
      <c r="AB35" s="25">
        <f t="shared" si="13"/>
        <v>83</v>
      </c>
      <c r="AC35" s="25" t="str">
        <f t="shared" si="14"/>
        <v>FCD</v>
      </c>
      <c r="AD35" s="88">
        <v>39</v>
      </c>
      <c r="AE35" s="88">
        <v>38</v>
      </c>
      <c r="AF35" s="257">
        <f t="shared" si="15"/>
        <v>77</v>
      </c>
      <c r="AG35" s="25">
        <f t="shared" si="16"/>
        <v>77</v>
      </c>
      <c r="AH35" s="25" t="str">
        <f t="shared" si="17"/>
        <v>FCD</v>
      </c>
      <c r="AI35" s="257">
        <f t="shared" si="18"/>
        <v>585</v>
      </c>
      <c r="AJ35" s="261">
        <f t="shared" si="19"/>
        <v>83.571428571428569</v>
      </c>
      <c r="AK35" s="262" t="str">
        <f t="shared" si="20"/>
        <v>FCD</v>
      </c>
      <c r="AL35" s="1"/>
      <c r="AM35" s="1"/>
      <c r="AN35" s="1"/>
      <c r="AO35" s="1"/>
      <c r="AP35" s="1"/>
      <c r="AQ35" s="1"/>
      <c r="AR35" s="1"/>
      <c r="AS35" s="4"/>
    </row>
    <row r="36" spans="1:45" ht="15.75" hidden="1" x14ac:dyDescent="0.25">
      <c r="A36" s="83">
        <v>26</v>
      </c>
      <c r="B36" s="86" t="s">
        <v>274</v>
      </c>
      <c r="C36" s="49" t="s">
        <v>13</v>
      </c>
      <c r="D36" s="87" t="s">
        <v>307</v>
      </c>
      <c r="E36" s="88">
        <v>45</v>
      </c>
      <c r="F36" s="88">
        <v>36</v>
      </c>
      <c r="G36" s="27">
        <f t="shared" si="0"/>
        <v>81</v>
      </c>
      <c r="H36" s="29">
        <f t="shared" si="1"/>
        <v>81</v>
      </c>
      <c r="I36" s="28" t="str">
        <f t="shared" si="2"/>
        <v>FCD</v>
      </c>
      <c r="J36" s="88">
        <v>49</v>
      </c>
      <c r="K36" s="88">
        <v>45</v>
      </c>
      <c r="L36" s="247">
        <f t="shared" si="3"/>
        <v>94</v>
      </c>
      <c r="M36" s="28">
        <f t="shared" si="4"/>
        <v>94</v>
      </c>
      <c r="N36" s="39" t="str">
        <f t="shared" si="5"/>
        <v>FCD</v>
      </c>
      <c r="O36" s="88">
        <v>50</v>
      </c>
      <c r="P36" s="88">
        <v>29</v>
      </c>
      <c r="Q36" s="247">
        <f t="shared" si="6"/>
        <v>79</v>
      </c>
      <c r="R36" s="28">
        <f t="shared" si="7"/>
        <v>79</v>
      </c>
      <c r="S36" s="25" t="str">
        <f t="shared" si="8"/>
        <v>FCD</v>
      </c>
      <c r="T36" s="88">
        <v>84</v>
      </c>
      <c r="U36" s="88">
        <v>93</v>
      </c>
      <c r="V36" s="247">
        <f t="shared" si="9"/>
        <v>177</v>
      </c>
      <c r="W36" s="30">
        <f t="shared" si="10"/>
        <v>88.5</v>
      </c>
      <c r="X36" s="25" t="str">
        <f t="shared" si="11"/>
        <v>FCD</v>
      </c>
      <c r="Y36" s="88">
        <v>50</v>
      </c>
      <c r="Z36" s="88">
        <v>40</v>
      </c>
      <c r="AA36" s="257">
        <f t="shared" si="12"/>
        <v>90</v>
      </c>
      <c r="AB36" s="25">
        <f t="shared" si="13"/>
        <v>90</v>
      </c>
      <c r="AC36" s="25" t="str">
        <f t="shared" si="14"/>
        <v>FCD</v>
      </c>
      <c r="AD36" s="88">
        <v>48</v>
      </c>
      <c r="AE36" s="88">
        <v>37</v>
      </c>
      <c r="AF36" s="257">
        <f t="shared" si="15"/>
        <v>85</v>
      </c>
      <c r="AG36" s="25">
        <f t="shared" si="16"/>
        <v>85</v>
      </c>
      <c r="AH36" s="25" t="str">
        <f t="shared" si="17"/>
        <v>FCD</v>
      </c>
      <c r="AI36" s="257">
        <f t="shared" si="18"/>
        <v>606</v>
      </c>
      <c r="AJ36" s="261">
        <f t="shared" si="19"/>
        <v>86.571428571428569</v>
      </c>
      <c r="AK36" s="262" t="str">
        <f t="shared" si="20"/>
        <v>FCD</v>
      </c>
      <c r="AL36" s="1"/>
      <c r="AM36" s="1"/>
      <c r="AN36" s="1"/>
      <c r="AO36" s="1"/>
      <c r="AP36" s="1"/>
      <c r="AQ36" s="1"/>
      <c r="AR36" s="1"/>
      <c r="AS36" s="4"/>
    </row>
    <row r="37" spans="1:45" s="13" customFormat="1" ht="15.75" hidden="1" x14ac:dyDescent="0.25">
      <c r="A37" s="83">
        <v>27</v>
      </c>
      <c r="B37" s="86" t="s">
        <v>275</v>
      </c>
      <c r="C37" s="49" t="s">
        <v>13</v>
      </c>
      <c r="D37" s="87" t="s">
        <v>308</v>
      </c>
      <c r="E37" s="88">
        <v>46</v>
      </c>
      <c r="F37" s="88">
        <v>40</v>
      </c>
      <c r="G37" s="27">
        <f t="shared" si="0"/>
        <v>86</v>
      </c>
      <c r="H37" s="29">
        <f t="shared" si="1"/>
        <v>86</v>
      </c>
      <c r="I37" s="28" t="str">
        <f t="shared" si="2"/>
        <v>FCD</v>
      </c>
      <c r="J37" s="88">
        <v>47</v>
      </c>
      <c r="K37" s="88">
        <v>41</v>
      </c>
      <c r="L37" s="247">
        <f t="shared" si="3"/>
        <v>88</v>
      </c>
      <c r="M37" s="28">
        <f t="shared" si="4"/>
        <v>88</v>
      </c>
      <c r="N37" s="39" t="str">
        <f t="shared" si="5"/>
        <v>FCD</v>
      </c>
      <c r="O37" s="88">
        <v>48</v>
      </c>
      <c r="P37" s="88">
        <v>25</v>
      </c>
      <c r="Q37" s="247">
        <f t="shared" si="6"/>
        <v>73</v>
      </c>
      <c r="R37" s="28">
        <f t="shared" si="7"/>
        <v>73</v>
      </c>
      <c r="S37" s="25" t="str">
        <f t="shared" si="8"/>
        <v>FCD</v>
      </c>
      <c r="T37" s="88">
        <v>95</v>
      </c>
      <c r="U37" s="88">
        <v>95</v>
      </c>
      <c r="V37" s="247">
        <f t="shared" si="9"/>
        <v>190</v>
      </c>
      <c r="W37" s="30">
        <f t="shared" si="10"/>
        <v>95</v>
      </c>
      <c r="X37" s="25" t="str">
        <f t="shared" si="11"/>
        <v>FCD</v>
      </c>
      <c r="Y37" s="88">
        <v>49</v>
      </c>
      <c r="Z37" s="88">
        <v>38</v>
      </c>
      <c r="AA37" s="257">
        <f t="shared" si="12"/>
        <v>87</v>
      </c>
      <c r="AB37" s="25">
        <f t="shared" si="13"/>
        <v>87</v>
      </c>
      <c r="AC37" s="25" t="str">
        <f t="shared" si="14"/>
        <v>FCD</v>
      </c>
      <c r="AD37" s="88">
        <v>46</v>
      </c>
      <c r="AE37" s="88">
        <v>24</v>
      </c>
      <c r="AF37" s="257">
        <f t="shared" si="15"/>
        <v>70</v>
      </c>
      <c r="AG37" s="25">
        <f t="shared" si="16"/>
        <v>70</v>
      </c>
      <c r="AH37" s="25" t="str">
        <f t="shared" si="17"/>
        <v>FCD</v>
      </c>
      <c r="AI37" s="257">
        <f t="shared" si="18"/>
        <v>594</v>
      </c>
      <c r="AJ37" s="261">
        <f t="shared" si="19"/>
        <v>84.857142857142861</v>
      </c>
      <c r="AK37" s="262" t="str">
        <f t="shared" si="20"/>
        <v>FCD</v>
      </c>
      <c r="AL37" s="11"/>
      <c r="AM37" s="11"/>
      <c r="AN37" s="11"/>
      <c r="AO37" s="11"/>
      <c r="AP37" s="11"/>
      <c r="AQ37" s="11"/>
      <c r="AR37" s="11"/>
      <c r="AS37" s="12"/>
    </row>
    <row r="38" spans="1:45" s="13" customFormat="1" ht="15.75" hidden="1" x14ac:dyDescent="0.25">
      <c r="A38" s="83">
        <v>28</v>
      </c>
      <c r="B38" s="86" t="s">
        <v>276</v>
      </c>
      <c r="C38" s="49" t="s">
        <v>13</v>
      </c>
      <c r="D38" s="87" t="s">
        <v>309</v>
      </c>
      <c r="E38" s="88">
        <v>49</v>
      </c>
      <c r="F38" s="88">
        <v>36</v>
      </c>
      <c r="G38" s="27">
        <f t="shared" si="0"/>
        <v>85</v>
      </c>
      <c r="H38" s="29">
        <f t="shared" si="1"/>
        <v>85</v>
      </c>
      <c r="I38" s="28" t="str">
        <f t="shared" si="2"/>
        <v>FCD</v>
      </c>
      <c r="J38" s="88">
        <v>50</v>
      </c>
      <c r="K38" s="88">
        <v>40</v>
      </c>
      <c r="L38" s="247">
        <f t="shared" si="3"/>
        <v>90</v>
      </c>
      <c r="M38" s="28">
        <f t="shared" si="4"/>
        <v>90</v>
      </c>
      <c r="N38" s="39" t="str">
        <f t="shared" si="5"/>
        <v>FCD</v>
      </c>
      <c r="O38" s="88">
        <v>50</v>
      </c>
      <c r="P38" s="88">
        <v>24</v>
      </c>
      <c r="Q38" s="247">
        <f t="shared" si="6"/>
        <v>74</v>
      </c>
      <c r="R38" s="28">
        <f t="shared" si="7"/>
        <v>74</v>
      </c>
      <c r="S38" s="25" t="str">
        <f t="shared" si="8"/>
        <v>FCD</v>
      </c>
      <c r="T38" s="88">
        <v>97</v>
      </c>
      <c r="U38" s="88">
        <v>95</v>
      </c>
      <c r="V38" s="247">
        <f t="shared" si="9"/>
        <v>192</v>
      </c>
      <c r="W38" s="30">
        <f t="shared" si="10"/>
        <v>96</v>
      </c>
      <c r="X38" s="25" t="str">
        <f t="shared" si="11"/>
        <v>FCD</v>
      </c>
      <c r="Y38" s="88">
        <v>49</v>
      </c>
      <c r="Z38" s="88">
        <v>40</v>
      </c>
      <c r="AA38" s="257">
        <f t="shared" si="12"/>
        <v>89</v>
      </c>
      <c r="AB38" s="25">
        <f t="shared" si="13"/>
        <v>89</v>
      </c>
      <c r="AC38" s="25" t="str">
        <f t="shared" si="14"/>
        <v>FCD</v>
      </c>
      <c r="AD38" s="88">
        <v>47</v>
      </c>
      <c r="AE38" s="88">
        <v>23</v>
      </c>
      <c r="AF38" s="257">
        <f t="shared" si="15"/>
        <v>70</v>
      </c>
      <c r="AG38" s="25">
        <f t="shared" si="16"/>
        <v>70</v>
      </c>
      <c r="AH38" s="25" t="str">
        <f t="shared" si="17"/>
        <v>FCD</v>
      </c>
      <c r="AI38" s="257">
        <f t="shared" si="18"/>
        <v>600</v>
      </c>
      <c r="AJ38" s="261">
        <f t="shared" si="19"/>
        <v>85.714285714285708</v>
      </c>
      <c r="AK38" s="262" t="str">
        <f t="shared" si="20"/>
        <v>FCD</v>
      </c>
      <c r="AS38" s="12"/>
    </row>
    <row r="39" spans="1:45" ht="15.75" hidden="1" x14ac:dyDescent="0.25">
      <c r="A39" s="83">
        <v>29</v>
      </c>
      <c r="B39" s="86" t="s">
        <v>277</v>
      </c>
      <c r="C39" s="49" t="s">
        <v>15</v>
      </c>
      <c r="D39" s="87" t="s">
        <v>310</v>
      </c>
      <c r="E39" s="88">
        <v>48</v>
      </c>
      <c r="F39" s="88">
        <v>40</v>
      </c>
      <c r="G39" s="27">
        <f t="shared" si="0"/>
        <v>88</v>
      </c>
      <c r="H39" s="29">
        <f t="shared" si="1"/>
        <v>88</v>
      </c>
      <c r="I39" s="28" t="str">
        <f t="shared" si="2"/>
        <v>FCD</v>
      </c>
      <c r="J39" s="88">
        <v>50</v>
      </c>
      <c r="K39" s="88">
        <v>40</v>
      </c>
      <c r="L39" s="247">
        <f t="shared" si="3"/>
        <v>90</v>
      </c>
      <c r="M39" s="28">
        <f t="shared" si="4"/>
        <v>90</v>
      </c>
      <c r="N39" s="39" t="str">
        <f t="shared" si="5"/>
        <v>FCD</v>
      </c>
      <c r="O39" s="88">
        <v>50</v>
      </c>
      <c r="P39" s="88">
        <v>35</v>
      </c>
      <c r="Q39" s="247">
        <f t="shared" si="6"/>
        <v>85</v>
      </c>
      <c r="R39" s="28">
        <f t="shared" si="7"/>
        <v>85</v>
      </c>
      <c r="S39" s="25" t="str">
        <f t="shared" si="8"/>
        <v>FCD</v>
      </c>
      <c r="T39" s="88">
        <v>96</v>
      </c>
      <c r="U39" s="88">
        <v>98</v>
      </c>
      <c r="V39" s="247">
        <f t="shared" si="9"/>
        <v>194</v>
      </c>
      <c r="W39" s="30">
        <f t="shared" si="10"/>
        <v>97</v>
      </c>
      <c r="X39" s="25" t="str">
        <f t="shared" si="11"/>
        <v>FCD</v>
      </c>
      <c r="Y39" s="88">
        <v>50</v>
      </c>
      <c r="Z39" s="88">
        <v>44</v>
      </c>
      <c r="AA39" s="257">
        <f t="shared" si="12"/>
        <v>94</v>
      </c>
      <c r="AB39" s="25">
        <f t="shared" si="13"/>
        <v>94</v>
      </c>
      <c r="AC39" s="25" t="str">
        <f t="shared" si="14"/>
        <v>FCD</v>
      </c>
      <c r="AD39" s="88">
        <v>48</v>
      </c>
      <c r="AE39" s="88">
        <v>34</v>
      </c>
      <c r="AF39" s="257">
        <f t="shared" si="15"/>
        <v>82</v>
      </c>
      <c r="AG39" s="25">
        <f t="shared" si="16"/>
        <v>82</v>
      </c>
      <c r="AH39" s="25" t="str">
        <f t="shared" si="17"/>
        <v>FCD</v>
      </c>
      <c r="AI39" s="257">
        <f t="shared" si="18"/>
        <v>633</v>
      </c>
      <c r="AJ39" s="261">
        <f t="shared" si="19"/>
        <v>90.428571428571431</v>
      </c>
      <c r="AK39" s="262" t="str">
        <f t="shared" si="20"/>
        <v>FCD</v>
      </c>
    </row>
    <row r="40" spans="1:45" s="13" customFormat="1" ht="15.75" hidden="1" x14ac:dyDescent="0.25">
      <c r="A40" s="83">
        <v>30</v>
      </c>
      <c r="B40" s="86" t="s">
        <v>278</v>
      </c>
      <c r="C40" s="49" t="s">
        <v>15</v>
      </c>
      <c r="D40" s="87" t="s">
        <v>311</v>
      </c>
      <c r="E40" s="88">
        <v>41</v>
      </c>
      <c r="F40" s="88">
        <v>21</v>
      </c>
      <c r="G40" s="27">
        <f t="shared" si="0"/>
        <v>62</v>
      </c>
      <c r="H40" s="29">
        <f t="shared" si="1"/>
        <v>62</v>
      </c>
      <c r="I40" s="28" t="str">
        <f t="shared" si="2"/>
        <v>FC</v>
      </c>
      <c r="J40" s="88">
        <v>46</v>
      </c>
      <c r="K40" s="88">
        <v>26</v>
      </c>
      <c r="L40" s="247">
        <f t="shared" si="3"/>
        <v>72</v>
      </c>
      <c r="M40" s="28">
        <f t="shared" si="4"/>
        <v>72</v>
      </c>
      <c r="N40" s="39" t="str">
        <f t="shared" si="5"/>
        <v>FCD</v>
      </c>
      <c r="O40" s="88">
        <v>34</v>
      </c>
      <c r="P40" s="88">
        <v>19</v>
      </c>
      <c r="Q40" s="247">
        <f t="shared" si="6"/>
        <v>53</v>
      </c>
      <c r="R40" s="28">
        <f t="shared" si="7"/>
        <v>53</v>
      </c>
      <c r="S40" s="25" t="str">
        <f t="shared" si="8"/>
        <v>SC</v>
      </c>
      <c r="T40" s="88">
        <v>91</v>
      </c>
      <c r="U40" s="88">
        <v>85</v>
      </c>
      <c r="V40" s="247">
        <f t="shared" si="9"/>
        <v>176</v>
      </c>
      <c r="W40" s="30">
        <f t="shared" si="10"/>
        <v>88</v>
      </c>
      <c r="X40" s="25" t="str">
        <f t="shared" si="11"/>
        <v>FCD</v>
      </c>
      <c r="Y40" s="88">
        <v>36</v>
      </c>
      <c r="Z40" s="88">
        <v>22</v>
      </c>
      <c r="AA40" s="257">
        <f t="shared" si="12"/>
        <v>58</v>
      </c>
      <c r="AB40" s="25">
        <f t="shared" si="13"/>
        <v>58</v>
      </c>
      <c r="AC40" s="25" t="str">
        <f t="shared" si="14"/>
        <v>SC</v>
      </c>
      <c r="AD40" s="136">
        <v>34</v>
      </c>
      <c r="AE40" s="136">
        <v>11</v>
      </c>
      <c r="AF40" s="270">
        <f t="shared" si="15"/>
        <v>45</v>
      </c>
      <c r="AG40" s="33">
        <f t="shared" si="16"/>
        <v>45</v>
      </c>
      <c r="AH40" s="33" t="str">
        <f t="shared" si="17"/>
        <v>F</v>
      </c>
      <c r="AI40" s="257">
        <f t="shared" si="18"/>
        <v>466</v>
      </c>
      <c r="AJ40" s="261">
        <f t="shared" si="19"/>
        <v>66.571428571428569</v>
      </c>
      <c r="AK40" s="266" t="s">
        <v>322</v>
      </c>
    </row>
    <row r="41" spans="1:45" ht="15.75" hidden="1" x14ac:dyDescent="0.25">
      <c r="A41" s="83">
        <v>31</v>
      </c>
      <c r="B41" s="86" t="s">
        <v>279</v>
      </c>
      <c r="C41" s="49" t="s">
        <v>13</v>
      </c>
      <c r="D41" s="87" t="s">
        <v>312</v>
      </c>
      <c r="E41" s="88">
        <v>45</v>
      </c>
      <c r="F41" s="88">
        <v>40</v>
      </c>
      <c r="G41" s="27">
        <f t="shared" si="0"/>
        <v>85</v>
      </c>
      <c r="H41" s="29">
        <f t="shared" si="1"/>
        <v>85</v>
      </c>
      <c r="I41" s="28" t="str">
        <f t="shared" si="2"/>
        <v>FCD</v>
      </c>
      <c r="J41" s="88">
        <v>49</v>
      </c>
      <c r="K41" s="88">
        <v>40</v>
      </c>
      <c r="L41" s="247">
        <f t="shared" si="3"/>
        <v>89</v>
      </c>
      <c r="M41" s="28">
        <f t="shared" si="4"/>
        <v>89</v>
      </c>
      <c r="N41" s="39" t="str">
        <f t="shared" si="5"/>
        <v>FCD</v>
      </c>
      <c r="O41" s="88">
        <v>43</v>
      </c>
      <c r="P41" s="88">
        <v>30</v>
      </c>
      <c r="Q41" s="247">
        <f t="shared" si="6"/>
        <v>73</v>
      </c>
      <c r="R41" s="28">
        <f t="shared" si="7"/>
        <v>73</v>
      </c>
      <c r="S41" s="25" t="str">
        <f t="shared" si="8"/>
        <v>FCD</v>
      </c>
      <c r="T41" s="88">
        <v>96</v>
      </c>
      <c r="U41" s="88">
        <v>98</v>
      </c>
      <c r="V41" s="247">
        <f t="shared" si="9"/>
        <v>194</v>
      </c>
      <c r="W41" s="30">
        <f t="shared" si="10"/>
        <v>97</v>
      </c>
      <c r="X41" s="25" t="str">
        <f t="shared" si="11"/>
        <v>FCD</v>
      </c>
      <c r="Y41" s="88">
        <v>50</v>
      </c>
      <c r="Z41" s="88">
        <v>41</v>
      </c>
      <c r="AA41" s="257">
        <f t="shared" si="12"/>
        <v>91</v>
      </c>
      <c r="AB41" s="25">
        <f t="shared" si="13"/>
        <v>91</v>
      </c>
      <c r="AC41" s="25" t="str">
        <f t="shared" si="14"/>
        <v>FCD</v>
      </c>
      <c r="AD41" s="88">
        <v>49</v>
      </c>
      <c r="AE41" s="88">
        <v>31</v>
      </c>
      <c r="AF41" s="257">
        <f t="shared" si="15"/>
        <v>80</v>
      </c>
      <c r="AG41" s="25">
        <f t="shared" si="16"/>
        <v>80</v>
      </c>
      <c r="AH41" s="25" t="str">
        <f t="shared" si="17"/>
        <v>FCD</v>
      </c>
      <c r="AI41" s="257">
        <f t="shared" si="18"/>
        <v>612</v>
      </c>
      <c r="AJ41" s="261">
        <f t="shared" si="19"/>
        <v>87.428571428571431</v>
      </c>
      <c r="AK41" s="262" t="str">
        <f t="shared" si="20"/>
        <v>FCD</v>
      </c>
    </row>
    <row r="42" spans="1:45" ht="15.75" hidden="1" x14ac:dyDescent="0.25">
      <c r="A42" s="83">
        <v>32</v>
      </c>
      <c r="B42" s="86" t="s">
        <v>280</v>
      </c>
      <c r="C42" s="49" t="s">
        <v>15</v>
      </c>
      <c r="D42" s="87" t="s">
        <v>313</v>
      </c>
      <c r="E42" s="88">
        <v>40</v>
      </c>
      <c r="F42" s="88">
        <v>34</v>
      </c>
      <c r="G42" s="27">
        <f t="shared" si="0"/>
        <v>74</v>
      </c>
      <c r="H42" s="29">
        <f t="shared" si="1"/>
        <v>74</v>
      </c>
      <c r="I42" s="28" t="str">
        <f t="shared" si="2"/>
        <v>FCD</v>
      </c>
      <c r="J42" s="88">
        <v>45</v>
      </c>
      <c r="K42" s="88">
        <v>34</v>
      </c>
      <c r="L42" s="247">
        <f t="shared" si="3"/>
        <v>79</v>
      </c>
      <c r="M42" s="28">
        <f t="shared" si="4"/>
        <v>79</v>
      </c>
      <c r="N42" s="39" t="str">
        <f t="shared" si="5"/>
        <v>FCD</v>
      </c>
      <c r="O42" s="88">
        <v>36</v>
      </c>
      <c r="P42" s="88">
        <v>23</v>
      </c>
      <c r="Q42" s="247">
        <f t="shared" si="6"/>
        <v>59</v>
      </c>
      <c r="R42" s="28">
        <f t="shared" si="7"/>
        <v>59</v>
      </c>
      <c r="S42" s="25" t="str">
        <f t="shared" si="8"/>
        <v>SC</v>
      </c>
      <c r="T42" s="88">
        <v>91</v>
      </c>
      <c r="U42" s="88">
        <v>85</v>
      </c>
      <c r="V42" s="247">
        <f t="shared" si="9"/>
        <v>176</v>
      </c>
      <c r="W42" s="30">
        <f t="shared" si="10"/>
        <v>88</v>
      </c>
      <c r="X42" s="25" t="str">
        <f t="shared" si="11"/>
        <v>FCD</v>
      </c>
      <c r="Y42" s="88">
        <v>41</v>
      </c>
      <c r="Z42" s="88">
        <v>29</v>
      </c>
      <c r="AA42" s="257">
        <f t="shared" si="12"/>
        <v>70</v>
      </c>
      <c r="AB42" s="25">
        <f t="shared" si="13"/>
        <v>70</v>
      </c>
      <c r="AC42" s="25" t="str">
        <f t="shared" si="14"/>
        <v>FCD</v>
      </c>
      <c r="AD42" s="88">
        <v>42</v>
      </c>
      <c r="AE42" s="88">
        <v>28</v>
      </c>
      <c r="AF42" s="257">
        <f t="shared" si="15"/>
        <v>70</v>
      </c>
      <c r="AG42" s="25">
        <f t="shared" si="16"/>
        <v>70</v>
      </c>
      <c r="AH42" s="25" t="str">
        <f t="shared" si="17"/>
        <v>FCD</v>
      </c>
      <c r="AI42" s="257">
        <f t="shared" si="18"/>
        <v>528</v>
      </c>
      <c r="AJ42" s="261">
        <f t="shared" si="19"/>
        <v>75.428571428571431</v>
      </c>
      <c r="AK42" s="262" t="str">
        <f t="shared" si="20"/>
        <v>FCD</v>
      </c>
      <c r="AL42" s="1"/>
      <c r="AM42" s="1"/>
      <c r="AN42" s="1"/>
      <c r="AO42" s="1"/>
      <c r="AP42" s="1"/>
      <c r="AQ42" s="1"/>
      <c r="AR42" s="1"/>
      <c r="AS42" s="1"/>
    </row>
    <row r="43" spans="1:45" s="13" customFormat="1" ht="15.75" hidden="1" x14ac:dyDescent="0.25">
      <c r="A43" s="83">
        <v>33</v>
      </c>
      <c r="B43" s="86" t="s">
        <v>281</v>
      </c>
      <c r="C43" s="47" t="s">
        <v>15</v>
      </c>
      <c r="D43" s="87" t="s">
        <v>314</v>
      </c>
      <c r="E43" s="88">
        <v>44</v>
      </c>
      <c r="F43" s="88">
        <v>34</v>
      </c>
      <c r="G43" s="27">
        <f t="shared" si="0"/>
        <v>78</v>
      </c>
      <c r="H43" s="29">
        <f t="shared" si="1"/>
        <v>78</v>
      </c>
      <c r="I43" s="28" t="str">
        <f t="shared" si="2"/>
        <v>FCD</v>
      </c>
      <c r="J43" s="136">
        <v>48</v>
      </c>
      <c r="K43" s="136">
        <v>7</v>
      </c>
      <c r="L43" s="250">
        <f t="shared" si="3"/>
        <v>55</v>
      </c>
      <c r="M43" s="31">
        <f t="shared" si="4"/>
        <v>55</v>
      </c>
      <c r="N43" s="40" t="str">
        <f t="shared" si="5"/>
        <v>F</v>
      </c>
      <c r="O43" s="88">
        <v>46</v>
      </c>
      <c r="P43" s="88">
        <v>24</v>
      </c>
      <c r="Q43" s="247">
        <f t="shared" si="6"/>
        <v>70</v>
      </c>
      <c r="R43" s="28">
        <f t="shared" si="7"/>
        <v>70</v>
      </c>
      <c r="S43" s="25" t="str">
        <f t="shared" si="8"/>
        <v>FCD</v>
      </c>
      <c r="T43" s="88">
        <v>96</v>
      </c>
      <c r="U43" s="88">
        <v>98</v>
      </c>
      <c r="V43" s="247">
        <f t="shared" si="9"/>
        <v>194</v>
      </c>
      <c r="W43" s="30">
        <f t="shared" si="10"/>
        <v>97</v>
      </c>
      <c r="X43" s="25" t="str">
        <f t="shared" si="11"/>
        <v>FCD</v>
      </c>
      <c r="Y43" s="88">
        <v>48</v>
      </c>
      <c r="Z43" s="88">
        <v>29</v>
      </c>
      <c r="AA43" s="257">
        <f t="shared" si="12"/>
        <v>77</v>
      </c>
      <c r="AB43" s="25">
        <f t="shared" si="13"/>
        <v>77</v>
      </c>
      <c r="AC43" s="25" t="str">
        <f t="shared" si="14"/>
        <v>FCD</v>
      </c>
      <c r="AD43" s="88">
        <v>45</v>
      </c>
      <c r="AE43" s="88">
        <v>25</v>
      </c>
      <c r="AF43" s="257">
        <f t="shared" si="15"/>
        <v>70</v>
      </c>
      <c r="AG43" s="25">
        <f t="shared" si="16"/>
        <v>70</v>
      </c>
      <c r="AH43" s="25" t="str">
        <f t="shared" si="17"/>
        <v>FCD</v>
      </c>
      <c r="AI43" s="257">
        <f t="shared" si="18"/>
        <v>544</v>
      </c>
      <c r="AJ43" s="261">
        <f t="shared" si="19"/>
        <v>77.714285714285708</v>
      </c>
      <c r="AK43" s="266" t="s">
        <v>322</v>
      </c>
      <c r="AL43" s="11"/>
      <c r="AM43" s="11"/>
      <c r="AN43" s="11"/>
      <c r="AO43" s="11"/>
      <c r="AP43" s="11"/>
      <c r="AQ43" s="11"/>
      <c r="AR43" s="11"/>
      <c r="AS43" s="11"/>
    </row>
    <row r="44" spans="1:45" s="13" customFormat="1" ht="15.75" hidden="1" x14ac:dyDescent="0.25">
      <c r="A44" s="124">
        <v>34</v>
      </c>
      <c r="B44" s="186"/>
      <c r="C44" s="187"/>
      <c r="D44" s="188"/>
      <c r="E44" s="128"/>
      <c r="F44" s="128"/>
      <c r="G44" s="125"/>
      <c r="H44" s="126"/>
      <c r="I44" s="127"/>
      <c r="J44" s="128"/>
      <c r="K44" s="128"/>
      <c r="L44" s="128"/>
      <c r="M44" s="127"/>
      <c r="N44" s="129"/>
      <c r="O44" s="128"/>
      <c r="P44" s="128"/>
      <c r="Q44" s="128"/>
      <c r="R44" s="127"/>
      <c r="S44" s="130"/>
      <c r="T44" s="189"/>
      <c r="U44" s="189"/>
      <c r="V44" s="128"/>
      <c r="W44" s="128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1"/>
      <c r="AK44" s="132"/>
    </row>
    <row r="45" spans="1:45" s="13" customFormat="1" ht="15.75" hidden="1" x14ac:dyDescent="0.25">
      <c r="A45" s="83">
        <v>35</v>
      </c>
      <c r="B45" s="21"/>
      <c r="C45" s="49"/>
      <c r="D45" s="118"/>
      <c r="E45" s="30"/>
      <c r="F45" s="30"/>
      <c r="G45" s="27"/>
      <c r="H45" s="29"/>
      <c r="I45" s="28"/>
      <c r="J45" s="30"/>
      <c r="K45" s="30"/>
      <c r="L45" s="30"/>
      <c r="M45" s="28"/>
      <c r="N45" s="39"/>
      <c r="O45" s="30"/>
      <c r="P45" s="30"/>
      <c r="Q45" s="30"/>
      <c r="R45" s="28"/>
      <c r="S45" s="25"/>
      <c r="T45" s="24"/>
      <c r="U45" s="24"/>
      <c r="V45" s="30"/>
      <c r="W45" s="30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36"/>
      <c r="AK45" s="41"/>
    </row>
    <row r="46" spans="1:45" s="13" customFormat="1" ht="15.75" hidden="1" x14ac:dyDescent="0.25">
      <c r="A46" s="83">
        <v>36</v>
      </c>
      <c r="B46" s="19"/>
      <c r="C46" s="47"/>
      <c r="D46" s="118"/>
      <c r="E46" s="30"/>
      <c r="F46" s="30"/>
      <c r="G46" s="27"/>
      <c r="H46" s="29"/>
      <c r="I46" s="28"/>
      <c r="J46" s="30"/>
      <c r="K46" s="30"/>
      <c r="L46" s="30"/>
      <c r="M46" s="28"/>
      <c r="N46" s="39"/>
      <c r="O46" s="32"/>
      <c r="P46" s="32"/>
      <c r="Q46" s="30"/>
      <c r="R46" s="28"/>
      <c r="S46" s="25"/>
      <c r="T46" s="46"/>
      <c r="U46" s="46"/>
      <c r="V46" s="30"/>
      <c r="W46" s="30"/>
      <c r="X46" s="25"/>
      <c r="Y46" s="25"/>
      <c r="Z46" s="25"/>
      <c r="AA46" s="25"/>
      <c r="AB46" s="25"/>
      <c r="AC46" s="25"/>
      <c r="AD46" s="33"/>
      <c r="AE46" s="33"/>
      <c r="AF46" s="25"/>
      <c r="AG46" s="25"/>
      <c r="AH46" s="25"/>
      <c r="AI46" s="25"/>
      <c r="AJ46" s="36"/>
      <c r="AK46" s="41"/>
      <c r="AL46" s="11"/>
      <c r="AM46" s="11"/>
      <c r="AN46" s="11"/>
      <c r="AO46" s="11"/>
      <c r="AP46" s="11"/>
      <c r="AQ46" s="11"/>
      <c r="AR46" s="11"/>
      <c r="AS46" s="11"/>
    </row>
    <row r="47" spans="1:45" s="13" customFormat="1" ht="15.75" hidden="1" x14ac:dyDescent="0.25">
      <c r="A47" s="83">
        <v>37</v>
      </c>
      <c r="B47" s="19"/>
      <c r="C47" s="47"/>
      <c r="D47" s="118"/>
      <c r="E47" s="30"/>
      <c r="F47" s="30"/>
      <c r="G47" s="27"/>
      <c r="H47" s="29"/>
      <c r="I47" s="28"/>
      <c r="J47" s="30"/>
      <c r="K47" s="30"/>
      <c r="L47" s="30"/>
      <c r="M47" s="28"/>
      <c r="N47" s="39"/>
      <c r="O47" s="30"/>
      <c r="P47" s="30"/>
      <c r="Q47" s="30"/>
      <c r="R47" s="28"/>
      <c r="S47" s="25"/>
      <c r="T47" s="24"/>
      <c r="U47" s="24"/>
      <c r="V47" s="30"/>
      <c r="W47" s="30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36"/>
      <c r="AK47" s="41"/>
    </row>
    <row r="48" spans="1:45" ht="15.75" hidden="1" x14ac:dyDescent="0.25">
      <c r="A48" s="83">
        <v>38</v>
      </c>
      <c r="B48" s="21"/>
      <c r="C48" s="49"/>
      <c r="D48" s="118"/>
      <c r="E48" s="30"/>
      <c r="F48" s="30"/>
      <c r="G48" s="27"/>
      <c r="H48" s="29"/>
      <c r="I48" s="28"/>
      <c r="J48" s="30"/>
      <c r="K48" s="30"/>
      <c r="L48" s="30"/>
      <c r="M48" s="28"/>
      <c r="N48" s="39"/>
      <c r="O48" s="30"/>
      <c r="P48" s="30"/>
      <c r="Q48" s="30"/>
      <c r="R48" s="28"/>
      <c r="S48" s="25"/>
      <c r="T48" s="24"/>
      <c r="U48" s="24"/>
      <c r="V48" s="30"/>
      <c r="W48" s="30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36"/>
      <c r="AK48" s="41"/>
    </row>
    <row r="49" spans="1:37" ht="15.75" hidden="1" x14ac:dyDescent="0.25">
      <c r="A49" s="83">
        <v>39</v>
      </c>
      <c r="B49" s="21"/>
      <c r="C49" s="49"/>
      <c r="D49" s="118"/>
      <c r="E49" s="30"/>
      <c r="F49" s="30"/>
      <c r="G49" s="27"/>
      <c r="H49" s="29"/>
      <c r="I49" s="28"/>
      <c r="J49" s="30"/>
      <c r="K49" s="30"/>
      <c r="L49" s="30"/>
      <c r="M49" s="28"/>
      <c r="N49" s="39"/>
      <c r="O49" s="30"/>
      <c r="P49" s="30"/>
      <c r="Q49" s="30"/>
      <c r="R49" s="28"/>
      <c r="S49" s="25"/>
      <c r="T49" s="24"/>
      <c r="U49" s="24"/>
      <c r="V49" s="30"/>
      <c r="W49" s="30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36"/>
      <c r="AK49" s="41"/>
    </row>
    <row r="50" spans="1:37" ht="15.75" hidden="1" x14ac:dyDescent="0.25">
      <c r="A50" s="83">
        <v>40</v>
      </c>
      <c r="B50" s="19"/>
      <c r="C50" s="47"/>
      <c r="D50" s="118"/>
      <c r="E50" s="35"/>
      <c r="F50" s="35"/>
      <c r="G50" s="27"/>
      <c r="H50" s="29"/>
      <c r="I50" s="28"/>
      <c r="J50" s="32"/>
      <c r="K50" s="32"/>
      <c r="L50" s="30"/>
      <c r="M50" s="28"/>
      <c r="N50" s="39"/>
      <c r="O50" s="30"/>
      <c r="P50" s="30"/>
      <c r="Q50" s="30"/>
      <c r="R50" s="28"/>
      <c r="S50" s="25"/>
      <c r="T50" s="24"/>
      <c r="U50" s="24"/>
      <c r="V50" s="30"/>
      <c r="W50" s="30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36"/>
      <c r="AK50" s="41"/>
    </row>
    <row r="51" spans="1:37" s="13" customFormat="1" ht="15.75" hidden="1" x14ac:dyDescent="0.25">
      <c r="A51" s="83">
        <v>41</v>
      </c>
      <c r="B51" s="19"/>
      <c r="C51" s="47"/>
      <c r="D51" s="118"/>
      <c r="E51" s="35"/>
      <c r="F51" s="35"/>
      <c r="G51" s="27"/>
      <c r="H51" s="29"/>
      <c r="I51" s="28"/>
      <c r="J51" s="35"/>
      <c r="K51" s="35"/>
      <c r="L51" s="30"/>
      <c r="M51" s="28"/>
      <c r="N51" s="39"/>
      <c r="O51" s="35"/>
      <c r="P51" s="35"/>
      <c r="Q51" s="30"/>
      <c r="R51" s="28"/>
      <c r="S51" s="25"/>
      <c r="T51" s="26"/>
      <c r="U51" s="26"/>
      <c r="V51" s="30"/>
      <c r="W51" s="30"/>
      <c r="X51" s="25"/>
      <c r="Y51" s="119"/>
      <c r="Z51" s="120"/>
      <c r="AA51" s="25"/>
      <c r="AB51" s="25"/>
      <c r="AC51" s="25"/>
      <c r="AD51" s="26"/>
      <c r="AE51" s="26"/>
      <c r="AF51" s="25"/>
      <c r="AG51" s="25"/>
      <c r="AH51" s="25"/>
      <c r="AI51" s="25"/>
      <c r="AJ51" s="36"/>
      <c r="AK51" s="41"/>
    </row>
    <row r="52" spans="1:37" s="13" customFormat="1" ht="15.75" hidden="1" x14ac:dyDescent="0.25">
      <c r="A52" s="83">
        <v>42</v>
      </c>
      <c r="B52" s="19"/>
      <c r="C52" s="47"/>
      <c r="D52" s="118"/>
      <c r="E52" s="35"/>
      <c r="F52" s="35"/>
      <c r="G52" s="27"/>
      <c r="H52" s="29"/>
      <c r="I52" s="28"/>
      <c r="J52" s="35"/>
      <c r="K52" s="35"/>
      <c r="L52" s="30"/>
      <c r="M52" s="28"/>
      <c r="N52" s="39"/>
      <c r="O52" s="35"/>
      <c r="P52" s="35"/>
      <c r="Q52" s="30"/>
      <c r="R52" s="28"/>
      <c r="S52" s="25"/>
      <c r="T52" s="26"/>
      <c r="U52" s="26"/>
      <c r="V52" s="30"/>
      <c r="W52" s="30"/>
      <c r="X52" s="25"/>
      <c r="Y52" s="26"/>
      <c r="Z52" s="26"/>
      <c r="AA52" s="25"/>
      <c r="AB52" s="25"/>
      <c r="AC52" s="25"/>
      <c r="AD52" s="26"/>
      <c r="AE52" s="26"/>
      <c r="AF52" s="25"/>
      <c r="AG52" s="25"/>
      <c r="AH52" s="25"/>
      <c r="AI52" s="25"/>
      <c r="AJ52" s="36"/>
      <c r="AK52" s="41"/>
    </row>
    <row r="53" spans="1:37" ht="15.75" hidden="1" x14ac:dyDescent="0.25">
      <c r="A53" s="83">
        <v>43</v>
      </c>
      <c r="B53" s="121"/>
      <c r="C53" s="49"/>
      <c r="D53" s="118"/>
      <c r="E53" s="35"/>
      <c r="F53" s="35"/>
      <c r="G53" s="27"/>
      <c r="H53" s="29"/>
      <c r="I53" s="28"/>
      <c r="J53" s="35"/>
      <c r="K53" s="35"/>
      <c r="L53" s="30"/>
      <c r="M53" s="28"/>
      <c r="N53" s="39"/>
      <c r="O53" s="35"/>
      <c r="P53" s="35"/>
      <c r="Q53" s="30"/>
      <c r="R53" s="28"/>
      <c r="S53" s="25"/>
      <c r="T53" s="38"/>
      <c r="U53" s="38"/>
      <c r="V53" s="30"/>
      <c r="W53" s="30"/>
      <c r="X53" s="25"/>
      <c r="Y53" s="26"/>
      <c r="Z53" s="26"/>
      <c r="AA53" s="25"/>
      <c r="AB53" s="25"/>
      <c r="AC53" s="25"/>
      <c r="AD53" s="26"/>
      <c r="AE53" s="26"/>
      <c r="AF53" s="25"/>
      <c r="AG53" s="25"/>
      <c r="AH53" s="25"/>
      <c r="AI53" s="25"/>
      <c r="AJ53" s="36"/>
      <c r="AK53" s="41"/>
    </row>
    <row r="54" spans="1:37" s="13" customFormat="1" ht="15.75" hidden="1" x14ac:dyDescent="0.25">
      <c r="A54" s="83">
        <v>44</v>
      </c>
      <c r="B54" s="21"/>
      <c r="C54" s="49"/>
      <c r="D54" s="118"/>
      <c r="E54" s="35"/>
      <c r="F54" s="35"/>
      <c r="G54" s="27"/>
      <c r="H54" s="29"/>
      <c r="I54" s="28"/>
      <c r="J54" s="35"/>
      <c r="K54" s="35"/>
      <c r="L54" s="30"/>
      <c r="M54" s="28"/>
      <c r="N54" s="39"/>
      <c r="O54" s="35"/>
      <c r="P54" s="35"/>
      <c r="Q54" s="30"/>
      <c r="R54" s="28"/>
      <c r="S54" s="25"/>
      <c r="T54" s="26"/>
      <c r="U54" s="26"/>
      <c r="V54" s="30"/>
      <c r="W54" s="30"/>
      <c r="X54" s="25"/>
      <c r="Y54" s="26"/>
      <c r="Z54" s="26"/>
      <c r="AA54" s="25"/>
      <c r="AB54" s="25"/>
      <c r="AC54" s="25"/>
      <c r="AD54" s="26"/>
      <c r="AE54" s="26"/>
      <c r="AF54" s="25"/>
      <c r="AG54" s="25"/>
      <c r="AH54" s="25"/>
      <c r="AI54" s="25"/>
      <c r="AJ54" s="36"/>
      <c r="AK54" s="41"/>
    </row>
    <row r="55" spans="1:37" s="13" customFormat="1" ht="15.75" hidden="1" x14ac:dyDescent="0.25">
      <c r="A55" s="83">
        <v>45</v>
      </c>
      <c r="B55" s="19"/>
      <c r="C55" s="47"/>
      <c r="D55" s="118"/>
      <c r="E55" s="35"/>
      <c r="F55" s="35"/>
      <c r="G55" s="27"/>
      <c r="H55" s="29"/>
      <c r="I55" s="28"/>
      <c r="J55" s="35"/>
      <c r="K55" s="35"/>
      <c r="L55" s="30"/>
      <c r="M55" s="28"/>
      <c r="N55" s="39"/>
      <c r="O55" s="35"/>
      <c r="P55" s="35"/>
      <c r="Q55" s="30"/>
      <c r="R55" s="28"/>
      <c r="S55" s="25"/>
      <c r="T55" s="26"/>
      <c r="U55" s="26"/>
      <c r="V55" s="30"/>
      <c r="W55" s="30"/>
      <c r="X55" s="25"/>
      <c r="Y55" s="26"/>
      <c r="Z55" s="26"/>
      <c r="AA55" s="25"/>
      <c r="AB55" s="25"/>
      <c r="AC55" s="25"/>
      <c r="AD55" s="26"/>
      <c r="AE55" s="26"/>
      <c r="AF55" s="25"/>
      <c r="AG55" s="25"/>
      <c r="AH55" s="25"/>
      <c r="AI55" s="25"/>
      <c r="AJ55" s="36"/>
      <c r="AK55" s="41"/>
    </row>
    <row r="56" spans="1:37" s="13" customFormat="1" ht="15.75" hidden="1" x14ac:dyDescent="0.25">
      <c r="A56" s="83">
        <v>46</v>
      </c>
      <c r="B56" s="19"/>
      <c r="C56" s="47"/>
      <c r="D56" s="118"/>
      <c r="E56" s="35"/>
      <c r="F56" s="35"/>
      <c r="G56" s="27"/>
      <c r="H56" s="29"/>
      <c r="I56" s="28"/>
      <c r="J56" s="35"/>
      <c r="K56" s="35"/>
      <c r="L56" s="30"/>
      <c r="M56" s="28"/>
      <c r="N56" s="39"/>
      <c r="O56" s="35"/>
      <c r="P56" s="35"/>
      <c r="Q56" s="30"/>
      <c r="R56" s="28"/>
      <c r="S56" s="25"/>
      <c r="T56" s="26"/>
      <c r="U56" s="26"/>
      <c r="V56" s="30"/>
      <c r="W56" s="30"/>
      <c r="X56" s="25"/>
      <c r="Y56" s="26"/>
      <c r="Z56" s="26"/>
      <c r="AA56" s="25"/>
      <c r="AB56" s="25"/>
      <c r="AC56" s="25"/>
      <c r="AD56" s="26"/>
      <c r="AE56" s="26"/>
      <c r="AF56" s="25"/>
      <c r="AG56" s="25"/>
      <c r="AH56" s="25"/>
      <c r="AI56" s="25"/>
      <c r="AJ56" s="36"/>
      <c r="AK56" s="41"/>
    </row>
    <row r="57" spans="1:37" s="13" customFormat="1" ht="15.75" hidden="1" x14ac:dyDescent="0.25">
      <c r="A57" s="83">
        <v>47</v>
      </c>
      <c r="B57" s="21"/>
      <c r="C57" s="49"/>
      <c r="D57" s="118"/>
      <c r="E57" s="35"/>
      <c r="F57" s="35"/>
      <c r="G57" s="27"/>
      <c r="H57" s="29"/>
      <c r="I57" s="28"/>
      <c r="J57" s="37"/>
      <c r="K57" s="37"/>
      <c r="L57" s="30"/>
      <c r="M57" s="28"/>
      <c r="N57" s="39"/>
      <c r="O57" s="37"/>
      <c r="P57" s="37"/>
      <c r="Q57" s="30"/>
      <c r="R57" s="28"/>
      <c r="S57" s="25"/>
      <c r="T57" s="26"/>
      <c r="U57" s="26"/>
      <c r="V57" s="30"/>
      <c r="W57" s="30"/>
      <c r="X57" s="25"/>
      <c r="Y57" s="38"/>
      <c r="Z57" s="38"/>
      <c r="AA57" s="25"/>
      <c r="AB57" s="25"/>
      <c r="AC57" s="25"/>
      <c r="AD57" s="26"/>
      <c r="AE57" s="26"/>
      <c r="AF57" s="25"/>
      <c r="AG57" s="25"/>
      <c r="AH57" s="25"/>
      <c r="AI57" s="25"/>
      <c r="AJ57" s="36"/>
      <c r="AK57" s="41"/>
    </row>
    <row r="58" spans="1:37" ht="15.75" hidden="1" x14ac:dyDescent="0.25">
      <c r="A58" s="83">
        <v>48</v>
      </c>
      <c r="B58" s="19"/>
      <c r="C58" s="47"/>
      <c r="D58" s="118"/>
      <c r="E58" s="35"/>
      <c r="F58" s="35"/>
      <c r="G58" s="27"/>
      <c r="H58" s="29"/>
      <c r="I58" s="28"/>
      <c r="J58" s="37"/>
      <c r="K58" s="37"/>
      <c r="L58" s="30"/>
      <c r="M58" s="28"/>
      <c r="N58" s="39"/>
      <c r="O58" s="37"/>
      <c r="P58" s="37"/>
      <c r="Q58" s="30"/>
      <c r="R58" s="28"/>
      <c r="S58" s="25"/>
      <c r="T58" s="26"/>
      <c r="U58" s="26"/>
      <c r="V58" s="30"/>
      <c r="W58" s="30"/>
      <c r="X58" s="25"/>
      <c r="Y58" s="26"/>
      <c r="Z58" s="26"/>
      <c r="AA58" s="25"/>
      <c r="AB58" s="25"/>
      <c r="AC58" s="25"/>
      <c r="AD58" s="26"/>
      <c r="AE58" s="26"/>
      <c r="AF58" s="25"/>
      <c r="AG58" s="25"/>
      <c r="AH58" s="25"/>
      <c r="AI58" s="25"/>
      <c r="AJ58" s="36"/>
      <c r="AK58" s="41"/>
    </row>
    <row r="59" spans="1:37" ht="15.75" hidden="1" x14ac:dyDescent="0.25">
      <c r="A59" s="83">
        <v>49</v>
      </c>
      <c r="B59" s="19"/>
      <c r="C59" s="47"/>
      <c r="D59" s="118"/>
      <c r="E59" s="35"/>
      <c r="F59" s="35"/>
      <c r="G59" s="27"/>
      <c r="H59" s="29"/>
      <c r="I59" s="28"/>
      <c r="J59" s="35"/>
      <c r="K59" s="35"/>
      <c r="L59" s="30"/>
      <c r="M59" s="28"/>
      <c r="N59" s="39"/>
      <c r="O59" s="35"/>
      <c r="P59" s="35"/>
      <c r="Q59" s="30"/>
      <c r="R59" s="28"/>
      <c r="S59" s="25"/>
      <c r="T59" s="26"/>
      <c r="U59" s="26"/>
      <c r="V59" s="30"/>
      <c r="W59" s="30"/>
      <c r="X59" s="25"/>
      <c r="Y59" s="26"/>
      <c r="Z59" s="26"/>
      <c r="AA59" s="25"/>
      <c r="AB59" s="25"/>
      <c r="AC59" s="25"/>
      <c r="AD59" s="26"/>
      <c r="AE59" s="26"/>
      <c r="AF59" s="25"/>
      <c r="AG59" s="25"/>
      <c r="AH59" s="25"/>
      <c r="AI59" s="25"/>
      <c r="AJ59" s="36"/>
      <c r="AK59" s="41"/>
    </row>
    <row r="60" spans="1:37" s="13" customFormat="1" ht="15.75" hidden="1" x14ac:dyDescent="0.25">
      <c r="A60" s="83">
        <v>50</v>
      </c>
      <c r="B60" s="21"/>
      <c r="C60" s="49"/>
      <c r="D60" s="118"/>
      <c r="E60" s="35"/>
      <c r="F60" s="35"/>
      <c r="G60" s="27"/>
      <c r="H60" s="29"/>
      <c r="I60" s="28"/>
      <c r="J60" s="37"/>
      <c r="K60" s="37"/>
      <c r="L60" s="30"/>
      <c r="M60" s="28"/>
      <c r="N60" s="39"/>
      <c r="O60" s="35"/>
      <c r="P60" s="35"/>
      <c r="Q60" s="30"/>
      <c r="R60" s="28"/>
      <c r="S60" s="25"/>
      <c r="T60" s="26"/>
      <c r="U60" s="26"/>
      <c r="V60" s="30"/>
      <c r="W60" s="30"/>
      <c r="X60" s="25"/>
      <c r="Y60" s="38"/>
      <c r="Z60" s="38"/>
      <c r="AA60" s="25"/>
      <c r="AB60" s="25"/>
      <c r="AC60" s="25"/>
      <c r="AD60" s="26"/>
      <c r="AE60" s="26"/>
      <c r="AF60" s="25"/>
      <c r="AG60" s="25"/>
      <c r="AH60" s="25"/>
      <c r="AI60" s="25"/>
      <c r="AJ60" s="36"/>
      <c r="AK60" s="41"/>
    </row>
    <row r="61" spans="1:37" s="13" customFormat="1" ht="15.75" hidden="1" x14ac:dyDescent="0.25">
      <c r="A61" s="83">
        <v>51</v>
      </c>
      <c r="B61" s="21"/>
      <c r="C61" s="49"/>
      <c r="D61" s="118"/>
      <c r="E61" s="35"/>
      <c r="F61" s="35"/>
      <c r="G61" s="27"/>
      <c r="H61" s="29"/>
      <c r="I61" s="28"/>
      <c r="J61" s="35"/>
      <c r="K61" s="35"/>
      <c r="L61" s="30"/>
      <c r="M61" s="28"/>
      <c r="N61" s="39"/>
      <c r="O61" s="35"/>
      <c r="P61" s="35"/>
      <c r="Q61" s="30"/>
      <c r="R61" s="28"/>
      <c r="S61" s="25"/>
      <c r="T61" s="26"/>
      <c r="U61" s="26"/>
      <c r="V61" s="30"/>
      <c r="W61" s="30"/>
      <c r="X61" s="25"/>
      <c r="Y61" s="26"/>
      <c r="Z61" s="26"/>
      <c r="AA61" s="25"/>
      <c r="AB61" s="25"/>
      <c r="AC61" s="25"/>
      <c r="AD61" s="26"/>
      <c r="AE61" s="26"/>
      <c r="AF61" s="25"/>
      <c r="AG61" s="25"/>
      <c r="AH61" s="25"/>
      <c r="AI61" s="25"/>
      <c r="AJ61" s="36"/>
      <c r="AK61" s="41"/>
    </row>
    <row r="62" spans="1:37" s="13" customFormat="1" ht="15.75" hidden="1" x14ac:dyDescent="0.25">
      <c r="A62" s="83">
        <v>52</v>
      </c>
      <c r="B62" s="21"/>
      <c r="C62" s="49"/>
      <c r="D62" s="118"/>
      <c r="E62" s="35"/>
      <c r="F62" s="35"/>
      <c r="G62" s="27"/>
      <c r="H62" s="29"/>
      <c r="I62" s="28"/>
      <c r="J62" s="35"/>
      <c r="K62" s="35"/>
      <c r="L62" s="30"/>
      <c r="M62" s="28"/>
      <c r="N62" s="39"/>
      <c r="O62" s="35"/>
      <c r="P62" s="35"/>
      <c r="Q62" s="30"/>
      <c r="R62" s="28"/>
      <c r="S62" s="25"/>
      <c r="T62" s="26"/>
      <c r="U62" s="26"/>
      <c r="V62" s="30"/>
      <c r="W62" s="30"/>
      <c r="X62" s="25"/>
      <c r="Y62" s="26"/>
      <c r="Z62" s="26"/>
      <c r="AA62" s="25"/>
      <c r="AB62" s="25"/>
      <c r="AC62" s="25"/>
      <c r="AD62" s="26"/>
      <c r="AE62" s="26"/>
      <c r="AF62" s="25"/>
      <c r="AG62" s="25"/>
      <c r="AH62" s="25"/>
      <c r="AI62" s="25"/>
      <c r="AJ62" s="36"/>
      <c r="AK62" s="41"/>
    </row>
    <row r="63" spans="1:37" s="13" customFormat="1" ht="15.75" hidden="1" x14ac:dyDescent="0.25">
      <c r="A63" s="83">
        <v>53</v>
      </c>
      <c r="B63" s="21"/>
      <c r="C63" s="49"/>
      <c r="D63" s="118"/>
      <c r="E63" s="35"/>
      <c r="F63" s="35"/>
      <c r="G63" s="27"/>
      <c r="H63" s="29"/>
      <c r="I63" s="28"/>
      <c r="J63" s="35"/>
      <c r="K63" s="35"/>
      <c r="L63" s="30"/>
      <c r="M63" s="28"/>
      <c r="N63" s="39"/>
      <c r="O63" s="35"/>
      <c r="P63" s="35"/>
      <c r="Q63" s="30"/>
      <c r="R63" s="28"/>
      <c r="S63" s="25"/>
      <c r="T63" s="26"/>
      <c r="U63" s="26"/>
      <c r="V63" s="30"/>
      <c r="W63" s="30"/>
      <c r="X63" s="25"/>
      <c r="Y63" s="26"/>
      <c r="Z63" s="26"/>
      <c r="AA63" s="25"/>
      <c r="AB63" s="25"/>
      <c r="AC63" s="25"/>
      <c r="AD63" s="26"/>
      <c r="AE63" s="26"/>
      <c r="AF63" s="25"/>
      <c r="AG63" s="25"/>
      <c r="AH63" s="25"/>
      <c r="AI63" s="25"/>
      <c r="AJ63" s="36"/>
      <c r="AK63" s="41"/>
    </row>
    <row r="64" spans="1:37" s="13" customFormat="1" ht="15.75" hidden="1" x14ac:dyDescent="0.25">
      <c r="A64" s="83">
        <v>54</v>
      </c>
      <c r="B64" s="20"/>
      <c r="C64" s="48"/>
      <c r="D64" s="118"/>
      <c r="E64" s="35"/>
      <c r="F64" s="35"/>
      <c r="G64" s="27"/>
      <c r="H64" s="29"/>
      <c r="I64" s="28"/>
      <c r="J64" s="35"/>
      <c r="K64" s="35"/>
      <c r="L64" s="30"/>
      <c r="M64" s="28"/>
      <c r="N64" s="39"/>
      <c r="O64" s="35"/>
      <c r="P64" s="35"/>
      <c r="Q64" s="30"/>
      <c r="R64" s="28"/>
      <c r="S64" s="25"/>
      <c r="T64" s="26"/>
      <c r="U64" s="26"/>
      <c r="V64" s="30"/>
      <c r="W64" s="30"/>
      <c r="X64" s="25"/>
      <c r="Y64" s="26"/>
      <c r="Z64" s="26"/>
      <c r="AA64" s="25"/>
      <c r="AB64" s="25"/>
      <c r="AC64" s="25"/>
      <c r="AD64" s="26"/>
      <c r="AE64" s="26"/>
      <c r="AF64" s="25"/>
      <c r="AG64" s="25"/>
      <c r="AH64" s="25"/>
      <c r="AI64" s="25"/>
      <c r="AJ64" s="36"/>
      <c r="AK64" s="41"/>
    </row>
    <row r="65" spans="1:37" ht="15.75" hidden="1" x14ac:dyDescent="0.25">
      <c r="A65" s="83">
        <v>55</v>
      </c>
      <c r="B65" s="19"/>
      <c r="C65" s="47"/>
      <c r="D65" s="118"/>
      <c r="E65" s="35"/>
      <c r="F65" s="35"/>
      <c r="G65" s="27"/>
      <c r="H65" s="29"/>
      <c r="I65" s="28"/>
      <c r="J65" s="35"/>
      <c r="K65" s="35"/>
      <c r="L65" s="30"/>
      <c r="M65" s="28"/>
      <c r="N65" s="39"/>
      <c r="O65" s="35"/>
      <c r="P65" s="35"/>
      <c r="Q65" s="30"/>
      <c r="R65" s="28"/>
      <c r="S65" s="25"/>
      <c r="T65" s="26"/>
      <c r="U65" s="26"/>
      <c r="V65" s="30"/>
      <c r="W65" s="30"/>
      <c r="X65" s="25"/>
      <c r="Y65" s="26"/>
      <c r="Z65" s="26"/>
      <c r="AA65" s="25"/>
      <c r="AB65" s="25"/>
      <c r="AC65" s="25"/>
      <c r="AD65" s="26"/>
      <c r="AE65" s="26"/>
      <c r="AF65" s="25"/>
      <c r="AG65" s="25"/>
      <c r="AH65" s="25"/>
      <c r="AI65" s="25"/>
      <c r="AJ65" s="36"/>
      <c r="AK65" s="41"/>
    </row>
    <row r="66" spans="1:37" s="13" customFormat="1" ht="15.75" hidden="1" x14ac:dyDescent="0.25">
      <c r="A66" s="83">
        <v>56</v>
      </c>
      <c r="B66" s="21"/>
      <c r="C66" s="49"/>
      <c r="D66" s="118"/>
      <c r="E66" s="35"/>
      <c r="F66" s="35"/>
      <c r="G66" s="27"/>
      <c r="H66" s="29"/>
      <c r="I66" s="28"/>
      <c r="J66" s="35"/>
      <c r="K66" s="35"/>
      <c r="L66" s="30"/>
      <c r="M66" s="28"/>
      <c r="N66" s="39"/>
      <c r="O66" s="35"/>
      <c r="P66" s="35"/>
      <c r="Q66" s="30"/>
      <c r="R66" s="28"/>
      <c r="S66" s="25"/>
      <c r="T66" s="26"/>
      <c r="U66" s="26"/>
      <c r="V66" s="30"/>
      <c r="W66" s="30"/>
      <c r="X66" s="25"/>
      <c r="Y66" s="26"/>
      <c r="Z66" s="26"/>
      <c r="AA66" s="25"/>
      <c r="AB66" s="25"/>
      <c r="AC66" s="25"/>
      <c r="AD66" s="26"/>
      <c r="AE66" s="26"/>
      <c r="AF66" s="25"/>
      <c r="AG66" s="25"/>
      <c r="AH66" s="25"/>
      <c r="AI66" s="25"/>
      <c r="AJ66" s="36"/>
      <c r="AK66" s="41"/>
    </row>
    <row r="67" spans="1:37" s="13" customFormat="1" ht="15.75" hidden="1" x14ac:dyDescent="0.25">
      <c r="A67" s="83">
        <v>57</v>
      </c>
      <c r="B67" s="21"/>
      <c r="C67" s="49"/>
      <c r="D67" s="118"/>
      <c r="E67" s="37"/>
      <c r="F67" s="37"/>
      <c r="G67" s="27"/>
      <c r="H67" s="29"/>
      <c r="I67" s="28"/>
      <c r="J67" s="35"/>
      <c r="K67" s="35"/>
      <c r="L67" s="30"/>
      <c r="M67" s="28"/>
      <c r="N67" s="39"/>
      <c r="O67" s="35"/>
      <c r="P67" s="35"/>
      <c r="Q67" s="30"/>
      <c r="R67" s="28"/>
      <c r="S67" s="25"/>
      <c r="T67" s="26"/>
      <c r="U67" s="26"/>
      <c r="V67" s="30"/>
      <c r="W67" s="30"/>
      <c r="X67" s="25"/>
      <c r="Y67" s="26"/>
      <c r="Z67" s="26"/>
      <c r="AA67" s="25"/>
      <c r="AB67" s="25"/>
      <c r="AC67" s="25"/>
      <c r="AD67" s="26"/>
      <c r="AE67" s="26"/>
      <c r="AF67" s="25"/>
      <c r="AG67" s="25"/>
      <c r="AH67" s="25"/>
      <c r="AI67" s="25"/>
      <c r="AJ67" s="36"/>
      <c r="AK67" s="41"/>
    </row>
    <row r="68" spans="1:37" s="13" customFormat="1" ht="15.75" hidden="1" x14ac:dyDescent="0.25">
      <c r="A68" s="83">
        <v>58</v>
      </c>
      <c r="B68" s="21"/>
      <c r="C68" s="49"/>
      <c r="D68" s="118"/>
      <c r="E68" s="35"/>
      <c r="F68" s="35"/>
      <c r="G68" s="27"/>
      <c r="H68" s="29"/>
      <c r="I68" s="28"/>
      <c r="J68" s="35"/>
      <c r="K68" s="35"/>
      <c r="L68" s="30"/>
      <c r="M68" s="28"/>
      <c r="N68" s="39"/>
      <c r="O68" s="35"/>
      <c r="P68" s="35"/>
      <c r="Q68" s="30"/>
      <c r="R68" s="28"/>
      <c r="S68" s="25"/>
      <c r="T68" s="26"/>
      <c r="U68" s="26"/>
      <c r="V68" s="30"/>
      <c r="W68" s="30"/>
      <c r="X68" s="25"/>
      <c r="Y68" s="26"/>
      <c r="Z68" s="26"/>
      <c r="AA68" s="25"/>
      <c r="AB68" s="25"/>
      <c r="AC68" s="25"/>
      <c r="AD68" s="26"/>
      <c r="AE68" s="26"/>
      <c r="AF68" s="25"/>
      <c r="AG68" s="25"/>
      <c r="AH68" s="25"/>
      <c r="AI68" s="25"/>
      <c r="AJ68" s="36"/>
      <c r="AK68" s="41"/>
    </row>
    <row r="69" spans="1:37" s="13" customFormat="1" ht="15.75" hidden="1" x14ac:dyDescent="0.25">
      <c r="A69" s="83">
        <v>59</v>
      </c>
      <c r="B69" s="21"/>
      <c r="C69" s="49"/>
      <c r="D69" s="118"/>
      <c r="E69" s="37"/>
      <c r="F69" s="37"/>
      <c r="G69" s="27"/>
      <c r="H69" s="29"/>
      <c r="I69" s="28"/>
      <c r="J69" s="37"/>
      <c r="K69" s="37"/>
      <c r="L69" s="30"/>
      <c r="M69" s="28"/>
      <c r="N69" s="39"/>
      <c r="O69" s="37"/>
      <c r="P69" s="37"/>
      <c r="Q69" s="30"/>
      <c r="R69" s="28"/>
      <c r="S69" s="25"/>
      <c r="T69" s="38"/>
      <c r="U69" s="38"/>
      <c r="V69" s="30"/>
      <c r="W69" s="30"/>
      <c r="X69" s="25"/>
      <c r="Y69" s="26"/>
      <c r="Z69" s="26"/>
      <c r="AA69" s="25"/>
      <c r="AB69" s="25"/>
      <c r="AC69" s="25"/>
      <c r="AD69" s="26"/>
      <c r="AE69" s="26"/>
      <c r="AF69" s="25"/>
      <c r="AG69" s="25"/>
      <c r="AH69" s="25"/>
      <c r="AI69" s="25"/>
      <c r="AJ69" s="36"/>
      <c r="AK69" s="41"/>
    </row>
    <row r="70" spans="1:37" ht="15.75" hidden="1" x14ac:dyDescent="0.25">
      <c r="A70" s="83">
        <v>60</v>
      </c>
      <c r="B70" s="21"/>
      <c r="C70" s="49"/>
      <c r="D70" s="118"/>
      <c r="E70" s="35"/>
      <c r="F70" s="35"/>
      <c r="G70" s="27"/>
      <c r="H70" s="29"/>
      <c r="I70" s="28"/>
      <c r="J70" s="35"/>
      <c r="K70" s="35"/>
      <c r="L70" s="30"/>
      <c r="M70" s="28"/>
      <c r="N70" s="39"/>
      <c r="O70" s="35"/>
      <c r="P70" s="35"/>
      <c r="Q70" s="30"/>
      <c r="R70" s="28"/>
      <c r="S70" s="25"/>
      <c r="T70" s="26"/>
      <c r="U70" s="26"/>
      <c r="V70" s="30"/>
      <c r="W70" s="30"/>
      <c r="X70" s="25"/>
      <c r="Y70" s="26"/>
      <c r="Z70" s="26"/>
      <c r="AA70" s="25"/>
      <c r="AB70" s="25"/>
      <c r="AC70" s="25"/>
      <c r="AD70" s="26"/>
      <c r="AE70" s="26"/>
      <c r="AF70" s="25"/>
      <c r="AG70" s="25"/>
      <c r="AH70" s="25"/>
      <c r="AI70" s="25"/>
      <c r="AJ70" s="36"/>
      <c r="AK70" s="41"/>
    </row>
    <row r="71" spans="1:37" ht="15.75" hidden="1" x14ac:dyDescent="0.25">
      <c r="A71" s="83">
        <v>61</v>
      </c>
      <c r="B71" s="21"/>
      <c r="C71" s="49"/>
      <c r="D71" s="118"/>
      <c r="E71" s="37"/>
      <c r="F71" s="37"/>
      <c r="G71" s="27"/>
      <c r="H71" s="29"/>
      <c r="I71" s="28"/>
      <c r="J71" s="37"/>
      <c r="K71" s="37"/>
      <c r="L71" s="30"/>
      <c r="M71" s="28"/>
      <c r="N71" s="39"/>
      <c r="O71" s="35"/>
      <c r="P71" s="35"/>
      <c r="Q71" s="30"/>
      <c r="R71" s="28"/>
      <c r="S71" s="25"/>
      <c r="T71" s="26"/>
      <c r="U71" s="26"/>
      <c r="V71" s="30"/>
      <c r="W71" s="30"/>
      <c r="X71" s="25"/>
      <c r="Y71" s="38"/>
      <c r="Z71" s="38"/>
      <c r="AA71" s="25"/>
      <c r="AB71" s="25"/>
      <c r="AC71" s="25"/>
      <c r="AD71" s="26"/>
      <c r="AE71" s="26"/>
      <c r="AF71" s="25"/>
      <c r="AG71" s="25"/>
      <c r="AH71" s="25"/>
      <c r="AI71" s="25"/>
      <c r="AJ71" s="36"/>
      <c r="AK71" s="41"/>
    </row>
    <row r="72" spans="1:37" s="13" customFormat="1" ht="15.75" hidden="1" x14ac:dyDescent="0.25">
      <c r="A72" s="83">
        <v>62</v>
      </c>
      <c r="B72" s="21"/>
      <c r="C72" s="49"/>
      <c r="D72" s="118"/>
      <c r="E72" s="37"/>
      <c r="F72" s="37"/>
      <c r="G72" s="27"/>
      <c r="H72" s="29"/>
      <c r="I72" s="28"/>
      <c r="J72" s="37"/>
      <c r="K72" s="37"/>
      <c r="L72" s="30"/>
      <c r="M72" s="28"/>
      <c r="N72" s="39"/>
      <c r="O72" s="37"/>
      <c r="P72" s="37"/>
      <c r="Q72" s="30"/>
      <c r="R72" s="28"/>
      <c r="S72" s="25"/>
      <c r="T72" s="38"/>
      <c r="U72" s="38"/>
      <c r="V72" s="30"/>
      <c r="W72" s="30"/>
      <c r="X72" s="25"/>
      <c r="Y72" s="26"/>
      <c r="Z72" s="26"/>
      <c r="AA72" s="25"/>
      <c r="AB72" s="25"/>
      <c r="AC72" s="25"/>
      <c r="AD72" s="26"/>
      <c r="AE72" s="26"/>
      <c r="AF72" s="25"/>
      <c r="AG72" s="25"/>
      <c r="AH72" s="25"/>
      <c r="AI72" s="25"/>
      <c r="AJ72" s="36"/>
      <c r="AK72" s="41"/>
    </row>
    <row r="73" spans="1:37" s="13" customFormat="1" ht="15.75" hidden="1" x14ac:dyDescent="0.25">
      <c r="A73" s="83">
        <v>63</v>
      </c>
      <c r="B73" s="21"/>
      <c r="C73" s="49"/>
      <c r="D73" s="118"/>
      <c r="E73" s="37"/>
      <c r="F73" s="37"/>
      <c r="G73" s="27"/>
      <c r="H73" s="29"/>
      <c r="I73" s="28"/>
      <c r="J73" s="37"/>
      <c r="K73" s="37"/>
      <c r="L73" s="30"/>
      <c r="M73" s="28"/>
      <c r="N73" s="39"/>
      <c r="O73" s="35"/>
      <c r="P73" s="35"/>
      <c r="Q73" s="30"/>
      <c r="R73" s="28"/>
      <c r="S73" s="25"/>
      <c r="T73" s="38"/>
      <c r="U73" s="38"/>
      <c r="V73" s="30"/>
      <c r="W73" s="30"/>
      <c r="X73" s="25"/>
      <c r="Y73" s="26"/>
      <c r="Z73" s="26"/>
      <c r="AA73" s="25"/>
      <c r="AB73" s="25"/>
      <c r="AC73" s="25"/>
      <c r="AD73" s="26"/>
      <c r="AE73" s="26"/>
      <c r="AF73" s="25"/>
      <c r="AG73" s="25"/>
      <c r="AH73" s="25"/>
      <c r="AI73" s="25"/>
      <c r="AJ73" s="36"/>
      <c r="AK73" s="41"/>
    </row>
    <row r="74" spans="1:37" ht="15.95" hidden="1" customHeight="1" x14ac:dyDescent="0.25">
      <c r="AG74" s="34" t="e">
        <f t="shared" si="16"/>
        <v>#DIV/0!</v>
      </c>
    </row>
    <row r="75" spans="1:37" ht="15.95" customHeight="1" x14ac:dyDescent="0.25">
      <c r="L75" s="275"/>
      <c r="Q75" s="275"/>
    </row>
  </sheetData>
  <autoFilter ref="A10:AT74">
    <filterColumn colId="2">
      <customFilters>
        <customFilter operator="notEqual" val=" "/>
      </customFilters>
    </filterColumn>
    <filterColumn colId="35">
      <filters>
        <filter val="90.71"/>
        <filter val="91.00"/>
        <filter val="92.29"/>
      </filters>
    </filterColumn>
  </autoFilter>
  <mergeCells count="9">
    <mergeCell ref="AJ8:AJ10"/>
    <mergeCell ref="AK8:AK10"/>
    <mergeCell ref="A1:J1"/>
    <mergeCell ref="A2:J2"/>
    <mergeCell ref="A3:J3"/>
    <mergeCell ref="A5:D5"/>
    <mergeCell ref="E5:F5"/>
    <mergeCell ref="G5:M5"/>
    <mergeCell ref="E8:I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tabSelected="1" zoomScaleNormal="100" workbookViewId="0">
      <selection activeCell="AH20" sqref="AH20"/>
    </sheetView>
  </sheetViews>
  <sheetFormatPr defaultRowHeight="15" x14ac:dyDescent="0.25"/>
  <cols>
    <col min="1" max="1" width="4.140625" customWidth="1"/>
    <col min="2" max="2" width="4.42578125" customWidth="1"/>
    <col min="3" max="3" width="3.140625" customWidth="1"/>
    <col min="4" max="4" width="1.42578125" customWidth="1"/>
    <col min="5" max="5" width="4.140625" customWidth="1"/>
    <col min="6" max="6" width="3.85546875" customWidth="1"/>
    <col min="7" max="7" width="4.42578125" customWidth="1"/>
    <col min="8" max="8" width="3.85546875" customWidth="1"/>
    <col min="9" max="9" width="4.28515625" customWidth="1"/>
    <col min="10" max="10" width="4.140625" customWidth="1"/>
    <col min="11" max="12" width="4.28515625" customWidth="1"/>
    <col min="13" max="13" width="3.85546875" customWidth="1"/>
    <col min="14" max="14" width="4.28515625" customWidth="1"/>
    <col min="15" max="15" width="3.140625" customWidth="1"/>
    <col min="16" max="16" width="3.85546875" customWidth="1"/>
    <col min="17" max="17" width="3.5703125" customWidth="1"/>
    <col min="18" max="18" width="4" customWidth="1"/>
    <col min="19" max="19" width="3.42578125" customWidth="1"/>
    <col min="20" max="20" width="4.28515625" customWidth="1"/>
    <col min="21" max="21" width="3.85546875" customWidth="1"/>
    <col min="22" max="22" width="3.5703125" customWidth="1"/>
    <col min="23" max="23" width="4.28515625" customWidth="1"/>
    <col min="24" max="24" width="4.140625" customWidth="1"/>
    <col min="25" max="25" width="5" customWidth="1"/>
    <col min="26" max="26" width="4.5703125" customWidth="1"/>
    <col min="27" max="27" width="5.140625" customWidth="1"/>
    <col min="28" max="28" width="5.28515625" customWidth="1"/>
    <col min="29" max="29" width="9.7109375" customWidth="1"/>
  </cols>
  <sheetData>
    <row r="1" spans="1:29" ht="24.75" customHeight="1" x14ac:dyDescent="0.25">
      <c r="A1" s="208" t="s">
        <v>16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10"/>
    </row>
    <row r="2" spans="1:29" ht="21" customHeight="1" x14ac:dyDescent="0.25">
      <c r="A2" s="211" t="s">
        <v>48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3"/>
    </row>
    <row r="3" spans="1:29" ht="16.5" thickBot="1" x14ac:dyDescent="0.3">
      <c r="A3" s="214" t="s">
        <v>341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6"/>
    </row>
    <row r="4" spans="1:29" ht="21" x14ac:dyDescent="0.25">
      <c r="A4" s="62"/>
      <c r="B4" s="81" t="s">
        <v>17</v>
      </c>
      <c r="C4" s="217" t="s">
        <v>18</v>
      </c>
      <c r="D4" s="218"/>
      <c r="E4" s="218"/>
      <c r="F4" s="218"/>
      <c r="G4" s="218"/>
      <c r="H4" s="219"/>
      <c r="I4" s="220" t="s">
        <v>15</v>
      </c>
      <c r="J4" s="221"/>
      <c r="K4" s="220" t="s">
        <v>13</v>
      </c>
      <c r="L4" s="221"/>
      <c r="M4" s="220" t="s">
        <v>6</v>
      </c>
      <c r="N4" s="221"/>
      <c r="O4" s="50"/>
      <c r="P4" s="222"/>
      <c r="Q4" s="222"/>
      <c r="R4" s="222"/>
      <c r="S4" s="222"/>
      <c r="T4" s="222"/>
      <c r="U4" s="222"/>
      <c r="V4" s="222"/>
      <c r="W4" s="222"/>
      <c r="X4" s="222"/>
      <c r="Y4" s="50"/>
      <c r="Z4" s="50"/>
      <c r="AA4" s="50"/>
      <c r="AB4" s="50"/>
      <c r="AC4" s="63"/>
    </row>
    <row r="5" spans="1:29" x14ac:dyDescent="0.25">
      <c r="A5" s="62"/>
      <c r="B5" s="58">
        <v>1</v>
      </c>
      <c r="C5" s="204" t="s">
        <v>19</v>
      </c>
      <c r="D5" s="204"/>
      <c r="E5" s="204"/>
      <c r="F5" s="204"/>
      <c r="G5" s="204"/>
      <c r="H5" s="204"/>
      <c r="I5" s="205">
        <v>43</v>
      </c>
      <c r="J5" s="205"/>
      <c r="K5" s="205">
        <v>55</v>
      </c>
      <c r="L5" s="205"/>
      <c r="M5" s="205">
        <f>(I5+K5)</f>
        <v>98</v>
      </c>
      <c r="N5" s="205"/>
      <c r="O5" s="50"/>
      <c r="P5" s="50"/>
      <c r="Q5" s="50"/>
      <c r="R5" s="50"/>
      <c r="S5" s="51"/>
      <c r="T5" s="51"/>
      <c r="U5" s="52"/>
      <c r="V5" s="52"/>
      <c r="W5" s="53"/>
      <c r="X5" s="51"/>
      <c r="Y5" s="51"/>
      <c r="Z5" s="50"/>
      <c r="AA5" s="50"/>
      <c r="AB5" s="50"/>
      <c r="AC5" s="63"/>
    </row>
    <row r="6" spans="1:29" x14ac:dyDescent="0.25">
      <c r="A6" s="62"/>
      <c r="B6" s="58">
        <v>2</v>
      </c>
      <c r="C6" s="204" t="s">
        <v>20</v>
      </c>
      <c r="D6" s="204"/>
      <c r="E6" s="204"/>
      <c r="F6" s="204"/>
      <c r="G6" s="204"/>
      <c r="H6" s="204"/>
      <c r="I6" s="205">
        <v>38</v>
      </c>
      <c r="J6" s="205"/>
      <c r="K6" s="205">
        <v>54</v>
      </c>
      <c r="L6" s="205"/>
      <c r="M6" s="205">
        <f>(I6+K6)</f>
        <v>92</v>
      </c>
      <c r="N6" s="205"/>
      <c r="O6" s="50"/>
      <c r="P6" s="50"/>
      <c r="Q6" s="50"/>
      <c r="R6" s="50"/>
      <c r="S6" s="51"/>
      <c r="T6" s="51"/>
      <c r="U6" s="52"/>
      <c r="V6" s="52"/>
      <c r="W6" s="53"/>
      <c r="X6" s="51"/>
      <c r="Y6" s="51"/>
      <c r="Z6" s="50"/>
      <c r="AA6" s="50"/>
      <c r="AB6" s="50"/>
      <c r="AC6" s="63"/>
    </row>
    <row r="7" spans="1:29" x14ac:dyDescent="0.25">
      <c r="A7" s="62"/>
      <c r="B7" s="58">
        <v>3</v>
      </c>
      <c r="C7" s="204" t="s">
        <v>21</v>
      </c>
      <c r="D7" s="204"/>
      <c r="E7" s="204"/>
      <c r="F7" s="204"/>
      <c r="G7" s="204"/>
      <c r="H7" s="204"/>
      <c r="I7" s="205">
        <v>0</v>
      </c>
      <c r="J7" s="205"/>
      <c r="K7" s="205">
        <v>0</v>
      </c>
      <c r="L7" s="205"/>
      <c r="M7" s="205">
        <f t="shared" ref="M7:M11" si="0">(I7+K7)</f>
        <v>0</v>
      </c>
      <c r="N7" s="205"/>
      <c r="O7" s="50"/>
      <c r="P7" s="50"/>
      <c r="Q7" s="50"/>
      <c r="R7" s="50"/>
      <c r="S7" s="51"/>
      <c r="T7" s="51"/>
      <c r="U7" s="52"/>
      <c r="V7" s="52"/>
      <c r="W7" s="53"/>
      <c r="X7" s="51"/>
      <c r="Y7" s="51"/>
      <c r="Z7" s="50"/>
      <c r="AA7" s="50"/>
      <c r="AB7" s="50"/>
      <c r="AC7" s="63"/>
    </row>
    <row r="8" spans="1:29" x14ac:dyDescent="0.25">
      <c r="A8" s="62"/>
      <c r="B8" s="58">
        <v>4</v>
      </c>
      <c r="C8" s="204" t="s">
        <v>22</v>
      </c>
      <c r="D8" s="204"/>
      <c r="E8" s="204"/>
      <c r="F8" s="204"/>
      <c r="G8" s="204"/>
      <c r="H8" s="204"/>
      <c r="I8" s="205">
        <v>0</v>
      </c>
      <c r="J8" s="205"/>
      <c r="K8" s="205">
        <v>0</v>
      </c>
      <c r="L8" s="205"/>
      <c r="M8" s="205">
        <f t="shared" si="0"/>
        <v>0</v>
      </c>
      <c r="N8" s="205"/>
      <c r="O8" s="50"/>
      <c r="P8" s="50"/>
      <c r="Q8" s="50"/>
      <c r="R8" s="50"/>
      <c r="S8" s="51"/>
      <c r="T8" s="51"/>
      <c r="U8" s="52"/>
      <c r="V8" s="52"/>
      <c r="W8" s="53"/>
      <c r="X8" s="51"/>
      <c r="Y8" s="51"/>
      <c r="Z8" s="50"/>
      <c r="AA8" s="50"/>
      <c r="AB8" s="50"/>
      <c r="AC8" s="63"/>
    </row>
    <row r="9" spans="1:29" x14ac:dyDescent="0.25">
      <c r="A9" s="62"/>
      <c r="B9" s="58">
        <v>9</v>
      </c>
      <c r="C9" s="204" t="s">
        <v>23</v>
      </c>
      <c r="D9" s="204"/>
      <c r="E9" s="204"/>
      <c r="F9" s="204"/>
      <c r="G9" s="204"/>
      <c r="H9" s="204"/>
      <c r="I9" s="205">
        <v>0</v>
      </c>
      <c r="J9" s="205"/>
      <c r="K9" s="205">
        <v>0</v>
      </c>
      <c r="L9" s="205"/>
      <c r="M9" s="205">
        <f t="shared" si="0"/>
        <v>0</v>
      </c>
      <c r="N9" s="205"/>
      <c r="O9" s="50"/>
      <c r="P9" s="50"/>
      <c r="Q9" s="50"/>
      <c r="R9" s="50"/>
      <c r="S9" s="51"/>
      <c r="T9" s="51"/>
      <c r="U9" s="54"/>
      <c r="V9" s="54"/>
      <c r="W9" s="53"/>
      <c r="X9" s="51"/>
      <c r="Y9" s="51"/>
      <c r="Z9" s="50"/>
      <c r="AA9" s="50"/>
      <c r="AB9" s="50"/>
      <c r="AC9" s="63"/>
    </row>
    <row r="10" spans="1:29" x14ac:dyDescent="0.25">
      <c r="A10" s="62"/>
      <c r="B10" s="58">
        <v>10</v>
      </c>
      <c r="C10" s="204" t="s">
        <v>24</v>
      </c>
      <c r="D10" s="204"/>
      <c r="E10" s="204"/>
      <c r="F10" s="204"/>
      <c r="G10" s="204"/>
      <c r="H10" s="204"/>
      <c r="I10" s="205">
        <v>5</v>
      </c>
      <c r="J10" s="205"/>
      <c r="K10" s="205">
        <v>1</v>
      </c>
      <c r="L10" s="205"/>
      <c r="M10" s="205">
        <f t="shared" si="0"/>
        <v>6</v>
      </c>
      <c r="N10" s="205"/>
      <c r="O10" s="50"/>
      <c r="P10" s="50"/>
      <c r="Q10" s="50"/>
      <c r="R10" s="50"/>
      <c r="S10" s="50"/>
      <c r="T10" s="50"/>
      <c r="U10" s="55"/>
      <c r="V10" s="55"/>
      <c r="W10" s="56"/>
      <c r="X10" s="50"/>
      <c r="Y10" s="50"/>
      <c r="Z10" s="50"/>
      <c r="AA10" s="50"/>
      <c r="AB10" s="50"/>
      <c r="AC10" s="63"/>
    </row>
    <row r="11" spans="1:29" x14ac:dyDescent="0.25">
      <c r="A11" s="62"/>
      <c r="B11" s="58">
        <v>12</v>
      </c>
      <c r="C11" s="204" t="s">
        <v>25</v>
      </c>
      <c r="D11" s="204"/>
      <c r="E11" s="204"/>
      <c r="F11" s="204"/>
      <c r="G11" s="204"/>
      <c r="H11" s="204"/>
      <c r="I11" s="205">
        <v>38</v>
      </c>
      <c r="J11" s="205"/>
      <c r="K11" s="205">
        <v>54</v>
      </c>
      <c r="L11" s="205"/>
      <c r="M11" s="205">
        <f t="shared" si="0"/>
        <v>92</v>
      </c>
      <c r="N11" s="205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63"/>
    </row>
    <row r="12" spans="1:29" x14ac:dyDescent="0.25">
      <c r="A12" s="62"/>
      <c r="B12" s="58">
        <v>13</v>
      </c>
      <c r="C12" s="206" t="s">
        <v>26</v>
      </c>
      <c r="D12" s="206"/>
      <c r="E12" s="206"/>
      <c r="F12" s="206"/>
      <c r="G12" s="206"/>
      <c r="H12" s="206"/>
      <c r="I12" s="205">
        <f>(I11/I5*100)</f>
        <v>88.372093023255815</v>
      </c>
      <c r="J12" s="205"/>
      <c r="K12" s="205">
        <f>(K11/K5*100)</f>
        <v>98.181818181818187</v>
      </c>
      <c r="L12" s="205"/>
      <c r="M12" s="207">
        <f>(M11/M5)*100</f>
        <v>93.877551020408163</v>
      </c>
      <c r="N12" s="207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63"/>
    </row>
    <row r="13" spans="1:29" x14ac:dyDescent="0.25">
      <c r="A13" s="200" t="s">
        <v>27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2"/>
    </row>
    <row r="14" spans="1:29" x14ac:dyDescent="0.25">
      <c r="A14" s="203" t="s">
        <v>28</v>
      </c>
      <c r="B14" s="199" t="s">
        <v>29</v>
      </c>
      <c r="C14" s="199"/>
      <c r="D14" s="199"/>
      <c r="E14" s="199" t="s">
        <v>19</v>
      </c>
      <c r="F14" s="199"/>
      <c r="G14" s="199"/>
      <c r="H14" s="199" t="s">
        <v>30</v>
      </c>
      <c r="I14" s="199"/>
      <c r="J14" s="199"/>
      <c r="K14" s="199" t="s">
        <v>31</v>
      </c>
      <c r="L14" s="199"/>
      <c r="M14" s="199"/>
      <c r="N14" s="199" t="s">
        <v>32</v>
      </c>
      <c r="O14" s="199"/>
      <c r="P14" s="199"/>
      <c r="Q14" s="199" t="s">
        <v>33</v>
      </c>
      <c r="R14" s="199"/>
      <c r="S14" s="199"/>
      <c r="T14" s="199" t="s">
        <v>34</v>
      </c>
      <c r="U14" s="199"/>
      <c r="V14" s="199"/>
      <c r="W14" s="199" t="s">
        <v>35</v>
      </c>
      <c r="X14" s="199"/>
      <c r="Y14" s="199"/>
      <c r="Z14" s="199" t="s">
        <v>36</v>
      </c>
      <c r="AA14" s="199"/>
      <c r="AB14" s="199"/>
      <c r="AC14" s="199" t="s">
        <v>37</v>
      </c>
    </row>
    <row r="15" spans="1:29" x14ac:dyDescent="0.25">
      <c r="A15" s="203"/>
      <c r="B15" s="199"/>
      <c r="C15" s="199"/>
      <c r="D15" s="199"/>
      <c r="E15" s="57" t="s">
        <v>15</v>
      </c>
      <c r="F15" s="57" t="s">
        <v>13</v>
      </c>
      <c r="G15" s="57" t="s">
        <v>38</v>
      </c>
      <c r="H15" s="57" t="s">
        <v>15</v>
      </c>
      <c r="I15" s="57" t="s">
        <v>13</v>
      </c>
      <c r="J15" s="57" t="s">
        <v>38</v>
      </c>
      <c r="K15" s="57" t="s">
        <v>15</v>
      </c>
      <c r="L15" s="57" t="s">
        <v>13</v>
      </c>
      <c r="M15" s="57" t="s">
        <v>38</v>
      </c>
      <c r="N15" s="57" t="s">
        <v>15</v>
      </c>
      <c r="O15" s="57" t="s">
        <v>13</v>
      </c>
      <c r="P15" s="57" t="s">
        <v>38</v>
      </c>
      <c r="Q15" s="57" t="s">
        <v>15</v>
      </c>
      <c r="R15" s="57" t="s">
        <v>13</v>
      </c>
      <c r="S15" s="57" t="s">
        <v>38</v>
      </c>
      <c r="T15" s="57" t="s">
        <v>15</v>
      </c>
      <c r="U15" s="57" t="s">
        <v>13</v>
      </c>
      <c r="V15" s="57" t="s">
        <v>38</v>
      </c>
      <c r="W15" s="57" t="s">
        <v>15</v>
      </c>
      <c r="X15" s="57" t="s">
        <v>13</v>
      </c>
      <c r="Y15" s="57" t="s">
        <v>38</v>
      </c>
      <c r="Z15" s="57" t="s">
        <v>15</v>
      </c>
      <c r="AA15" s="57" t="s">
        <v>13</v>
      </c>
      <c r="AB15" s="57" t="s">
        <v>38</v>
      </c>
      <c r="AC15" s="199"/>
    </row>
    <row r="16" spans="1:29" x14ac:dyDescent="0.25">
      <c r="A16" s="58">
        <v>1</v>
      </c>
      <c r="B16" s="195" t="s">
        <v>247</v>
      </c>
      <c r="C16" s="195"/>
      <c r="D16" s="195"/>
      <c r="E16" s="58">
        <v>43</v>
      </c>
      <c r="F16" s="58">
        <v>55</v>
      </c>
      <c r="G16" s="58">
        <f>SUM(E16+F16)</f>
        <v>98</v>
      </c>
      <c r="H16" s="58">
        <v>19</v>
      </c>
      <c r="I16" s="58">
        <v>42</v>
      </c>
      <c r="J16" s="58">
        <f>SUM(H16+I16)</f>
        <v>61</v>
      </c>
      <c r="K16" s="58">
        <v>21</v>
      </c>
      <c r="L16" s="58">
        <v>12</v>
      </c>
      <c r="M16" s="58">
        <f>SUM(K16+L16)</f>
        <v>33</v>
      </c>
      <c r="N16" s="58">
        <v>1</v>
      </c>
      <c r="O16" s="58">
        <v>0</v>
      </c>
      <c r="P16" s="58">
        <f>SUM(N16+O16)</f>
        <v>1</v>
      </c>
      <c r="Q16" s="58">
        <v>0</v>
      </c>
      <c r="R16" s="58">
        <v>0</v>
      </c>
      <c r="S16" s="58">
        <f>SUM(Q16+R16)</f>
        <v>0</v>
      </c>
      <c r="T16" s="58">
        <v>2</v>
      </c>
      <c r="U16" s="58">
        <v>1</v>
      </c>
      <c r="V16" s="58">
        <f>SUM(T16+U16)</f>
        <v>3</v>
      </c>
      <c r="W16" s="58">
        <f>(H16+K16+N16+Q16)</f>
        <v>41</v>
      </c>
      <c r="X16" s="58">
        <f>(I16+L16+O16+R16)</f>
        <v>54</v>
      </c>
      <c r="Y16" s="58">
        <f>SUM(W16+X16)</f>
        <v>95</v>
      </c>
      <c r="Z16" s="77">
        <f>(W16*100/E16)</f>
        <v>95.348837209302332</v>
      </c>
      <c r="AA16" s="77">
        <f>(X16*100)/F16</f>
        <v>98.181818181818187</v>
      </c>
      <c r="AB16" s="77">
        <f>Y16*100/G16</f>
        <v>96.938775510204081</v>
      </c>
      <c r="AC16" s="78" t="s">
        <v>323</v>
      </c>
    </row>
    <row r="17" spans="1:29" x14ac:dyDescent="0.25">
      <c r="A17" s="59">
        <v>2</v>
      </c>
      <c r="B17" s="195" t="s">
        <v>248</v>
      </c>
      <c r="C17" s="195"/>
      <c r="D17" s="195"/>
      <c r="E17" s="58">
        <v>43</v>
      </c>
      <c r="F17" s="58">
        <v>55</v>
      </c>
      <c r="G17" s="58">
        <f t="shared" ref="G17:G20" si="1">SUM(E17+F17)</f>
        <v>98</v>
      </c>
      <c r="H17" s="59">
        <v>36</v>
      </c>
      <c r="I17" s="59">
        <v>51</v>
      </c>
      <c r="J17" s="58">
        <f t="shared" ref="J17:J21" si="2">SUM(H17+I17)</f>
        <v>87</v>
      </c>
      <c r="K17" s="59">
        <v>5</v>
      </c>
      <c r="L17" s="59">
        <v>4</v>
      </c>
      <c r="M17" s="58">
        <f t="shared" ref="M17:M21" si="3">SUM(K17+L17)</f>
        <v>9</v>
      </c>
      <c r="N17" s="59">
        <v>0</v>
      </c>
      <c r="O17" s="59">
        <v>0</v>
      </c>
      <c r="P17" s="58">
        <f t="shared" ref="P17:P21" si="4">SUM(N17+O17)</f>
        <v>0</v>
      </c>
      <c r="Q17" s="58">
        <v>0</v>
      </c>
      <c r="R17" s="59">
        <v>0</v>
      </c>
      <c r="S17" s="58">
        <f t="shared" ref="S17:S21" si="5">SUM(Q17+R17)</f>
        <v>0</v>
      </c>
      <c r="T17" s="59">
        <v>2</v>
      </c>
      <c r="U17" s="59">
        <v>0</v>
      </c>
      <c r="V17" s="58">
        <f t="shared" ref="V17:V21" si="6">SUM(T17+U17)</f>
        <v>2</v>
      </c>
      <c r="W17" s="58">
        <f t="shared" ref="W17:W21" si="7">(H17+K17+N17+Q17)</f>
        <v>41</v>
      </c>
      <c r="X17" s="58">
        <f t="shared" ref="X17:X21" si="8">(I17+L17+O17+R17)</f>
        <v>55</v>
      </c>
      <c r="Y17" s="58">
        <f t="shared" ref="Y17:Y21" si="9">SUM(W17+X17)</f>
        <v>96</v>
      </c>
      <c r="Z17" s="77">
        <f t="shared" ref="Z17:Z21" si="10">(W17*100/E17)</f>
        <v>95.348837209302332</v>
      </c>
      <c r="AA17" s="77">
        <f t="shared" ref="AA17:AA20" si="11">(X17*100)/F17</f>
        <v>100</v>
      </c>
      <c r="AB17" s="77">
        <f t="shared" ref="AB17:AB21" si="12">Y17*100/G17</f>
        <v>97.959183673469383</v>
      </c>
      <c r="AC17" s="79" t="s">
        <v>342</v>
      </c>
    </row>
    <row r="18" spans="1:29" x14ac:dyDescent="0.25">
      <c r="A18" s="59">
        <v>3</v>
      </c>
      <c r="B18" s="195" t="s">
        <v>316</v>
      </c>
      <c r="C18" s="195"/>
      <c r="D18" s="195"/>
      <c r="E18" s="58">
        <v>43</v>
      </c>
      <c r="F18" s="58">
        <v>55</v>
      </c>
      <c r="G18" s="58">
        <f t="shared" si="1"/>
        <v>98</v>
      </c>
      <c r="H18" s="59">
        <v>27</v>
      </c>
      <c r="I18" s="59">
        <v>37</v>
      </c>
      <c r="J18" s="58">
        <f t="shared" si="2"/>
        <v>64</v>
      </c>
      <c r="K18" s="59">
        <v>10</v>
      </c>
      <c r="L18" s="59">
        <v>16</v>
      </c>
      <c r="M18" s="58">
        <f t="shared" si="3"/>
        <v>26</v>
      </c>
      <c r="N18" s="59">
        <v>4</v>
      </c>
      <c r="O18" s="59">
        <v>2</v>
      </c>
      <c r="P18" s="58">
        <f t="shared" si="4"/>
        <v>6</v>
      </c>
      <c r="Q18" s="58">
        <v>0</v>
      </c>
      <c r="R18" s="59">
        <v>0</v>
      </c>
      <c r="S18" s="58">
        <f t="shared" si="5"/>
        <v>0</v>
      </c>
      <c r="T18" s="59">
        <v>2</v>
      </c>
      <c r="U18" s="59">
        <v>0</v>
      </c>
      <c r="V18" s="58">
        <f t="shared" si="6"/>
        <v>2</v>
      </c>
      <c r="W18" s="58">
        <f t="shared" si="7"/>
        <v>41</v>
      </c>
      <c r="X18" s="58">
        <f t="shared" si="8"/>
        <v>55</v>
      </c>
      <c r="Y18" s="58">
        <f t="shared" si="9"/>
        <v>96</v>
      </c>
      <c r="Z18" s="77">
        <f t="shared" si="10"/>
        <v>95.348837209302332</v>
      </c>
      <c r="AA18" s="77">
        <f t="shared" si="11"/>
        <v>100</v>
      </c>
      <c r="AB18" s="77">
        <f t="shared" si="12"/>
        <v>97.959183673469383</v>
      </c>
      <c r="AC18" s="79" t="s">
        <v>39</v>
      </c>
    </row>
    <row r="19" spans="1:29" x14ac:dyDescent="0.25">
      <c r="A19" s="59">
        <v>4</v>
      </c>
      <c r="B19" s="194" t="s">
        <v>317</v>
      </c>
      <c r="C19" s="194"/>
      <c r="D19" s="194"/>
      <c r="E19" s="58">
        <v>43</v>
      </c>
      <c r="F19" s="58">
        <v>55</v>
      </c>
      <c r="G19" s="58">
        <f t="shared" si="1"/>
        <v>98</v>
      </c>
      <c r="H19" s="59">
        <v>43</v>
      </c>
      <c r="I19" s="59">
        <v>55</v>
      </c>
      <c r="J19" s="58">
        <f t="shared" si="2"/>
        <v>98</v>
      </c>
      <c r="K19" s="59">
        <v>0</v>
      </c>
      <c r="L19" s="59">
        <v>0</v>
      </c>
      <c r="M19" s="58">
        <f t="shared" si="3"/>
        <v>0</v>
      </c>
      <c r="N19" s="59">
        <v>0</v>
      </c>
      <c r="O19" s="59">
        <v>0</v>
      </c>
      <c r="P19" s="58">
        <f t="shared" si="4"/>
        <v>0</v>
      </c>
      <c r="Q19" s="58">
        <v>0</v>
      </c>
      <c r="R19" s="59">
        <v>0</v>
      </c>
      <c r="S19" s="58">
        <f t="shared" si="5"/>
        <v>0</v>
      </c>
      <c r="T19" s="59">
        <v>0</v>
      </c>
      <c r="U19" s="59">
        <v>0</v>
      </c>
      <c r="V19" s="58">
        <f t="shared" si="6"/>
        <v>0</v>
      </c>
      <c r="W19" s="58">
        <f t="shared" si="7"/>
        <v>43</v>
      </c>
      <c r="X19" s="58">
        <f t="shared" si="8"/>
        <v>55</v>
      </c>
      <c r="Y19" s="58">
        <f t="shared" si="9"/>
        <v>98</v>
      </c>
      <c r="Z19" s="77">
        <f t="shared" si="10"/>
        <v>100</v>
      </c>
      <c r="AA19" s="77">
        <f t="shared" si="11"/>
        <v>100</v>
      </c>
      <c r="AB19" s="77">
        <f t="shared" si="12"/>
        <v>100</v>
      </c>
      <c r="AC19" s="79" t="s">
        <v>325</v>
      </c>
    </row>
    <row r="20" spans="1:29" x14ac:dyDescent="0.25">
      <c r="A20" s="59">
        <v>5</v>
      </c>
      <c r="B20" s="194" t="s">
        <v>318</v>
      </c>
      <c r="C20" s="194"/>
      <c r="D20" s="194"/>
      <c r="E20" s="58">
        <v>43</v>
      </c>
      <c r="F20" s="58">
        <v>55</v>
      </c>
      <c r="G20" s="58">
        <f t="shared" si="1"/>
        <v>98</v>
      </c>
      <c r="H20" s="59">
        <v>40</v>
      </c>
      <c r="I20" s="59">
        <v>55</v>
      </c>
      <c r="J20" s="58">
        <f t="shared" si="2"/>
        <v>95</v>
      </c>
      <c r="K20" s="59">
        <v>3</v>
      </c>
      <c r="L20" s="59">
        <v>0</v>
      </c>
      <c r="M20" s="58">
        <f t="shared" si="3"/>
        <v>3</v>
      </c>
      <c r="N20" s="59">
        <v>0</v>
      </c>
      <c r="O20" s="59">
        <v>0</v>
      </c>
      <c r="P20" s="58">
        <f t="shared" si="4"/>
        <v>0</v>
      </c>
      <c r="Q20" s="58">
        <v>0</v>
      </c>
      <c r="R20" s="59">
        <v>0</v>
      </c>
      <c r="S20" s="58">
        <f t="shared" si="5"/>
        <v>0</v>
      </c>
      <c r="T20" s="59">
        <v>0</v>
      </c>
      <c r="U20" s="59">
        <v>0</v>
      </c>
      <c r="V20" s="58">
        <f t="shared" si="6"/>
        <v>0</v>
      </c>
      <c r="W20" s="58">
        <f t="shared" si="7"/>
        <v>43</v>
      </c>
      <c r="X20" s="58">
        <f t="shared" si="8"/>
        <v>55</v>
      </c>
      <c r="Y20" s="58">
        <f t="shared" si="9"/>
        <v>98</v>
      </c>
      <c r="Z20" s="77">
        <f t="shared" si="10"/>
        <v>100</v>
      </c>
      <c r="AA20" s="77">
        <f t="shared" si="11"/>
        <v>100</v>
      </c>
      <c r="AB20" s="77">
        <f t="shared" si="12"/>
        <v>100</v>
      </c>
      <c r="AC20" s="79" t="s">
        <v>326</v>
      </c>
    </row>
    <row r="21" spans="1:29" x14ac:dyDescent="0.25">
      <c r="A21" s="59">
        <v>6</v>
      </c>
      <c r="B21" s="195" t="s">
        <v>319</v>
      </c>
      <c r="C21" s="196"/>
      <c r="D21" s="196"/>
      <c r="E21" s="58">
        <v>43</v>
      </c>
      <c r="F21" s="58">
        <v>55</v>
      </c>
      <c r="G21" s="58">
        <f>SUM(E21+F21)</f>
        <v>98</v>
      </c>
      <c r="H21" s="59">
        <v>29</v>
      </c>
      <c r="I21" s="59">
        <v>45</v>
      </c>
      <c r="J21" s="58">
        <f t="shared" si="2"/>
        <v>74</v>
      </c>
      <c r="K21" s="59">
        <v>13</v>
      </c>
      <c r="L21" s="59">
        <v>10</v>
      </c>
      <c r="M21" s="58">
        <f t="shared" si="3"/>
        <v>23</v>
      </c>
      <c r="N21" s="59">
        <v>1</v>
      </c>
      <c r="O21" s="59">
        <v>0</v>
      </c>
      <c r="P21" s="58">
        <f t="shared" si="4"/>
        <v>1</v>
      </c>
      <c r="Q21" s="58">
        <v>0</v>
      </c>
      <c r="R21" s="59">
        <v>0</v>
      </c>
      <c r="S21" s="58">
        <f t="shared" si="5"/>
        <v>0</v>
      </c>
      <c r="T21" s="59">
        <v>0</v>
      </c>
      <c r="U21" s="59">
        <v>0</v>
      </c>
      <c r="V21" s="58">
        <f t="shared" si="6"/>
        <v>0</v>
      </c>
      <c r="W21" s="58">
        <f t="shared" si="7"/>
        <v>43</v>
      </c>
      <c r="X21" s="58">
        <f t="shared" si="8"/>
        <v>55</v>
      </c>
      <c r="Y21" s="58">
        <f t="shared" si="9"/>
        <v>98</v>
      </c>
      <c r="Z21" s="77">
        <f t="shared" si="10"/>
        <v>100</v>
      </c>
      <c r="AA21" s="77">
        <f>(X21*100)/F21</f>
        <v>100</v>
      </c>
      <c r="AB21" s="77">
        <f t="shared" si="12"/>
        <v>100</v>
      </c>
      <c r="AC21" s="79" t="s">
        <v>325</v>
      </c>
    </row>
    <row r="22" spans="1:29" x14ac:dyDescent="0.25">
      <c r="A22" s="197" t="s">
        <v>40</v>
      </c>
      <c r="B22" s="198"/>
      <c r="C22" s="60" t="s">
        <v>343</v>
      </c>
      <c r="D22" s="60"/>
      <c r="E22" s="60"/>
      <c r="F22" s="60"/>
      <c r="G22" s="60"/>
      <c r="H22" s="60"/>
      <c r="I22" s="60"/>
      <c r="J22" s="60"/>
      <c r="K22" s="60"/>
      <c r="L22" s="60"/>
      <c r="M22" s="61"/>
      <c r="N22" s="61"/>
      <c r="O22" s="61"/>
      <c r="P22" s="60" t="s">
        <v>344</v>
      </c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82"/>
    </row>
    <row r="23" spans="1:29" x14ac:dyDescent="0.25">
      <c r="A23" s="67"/>
      <c r="B23" s="61"/>
      <c r="C23" s="61"/>
      <c r="D23" s="61"/>
      <c r="E23" s="61"/>
      <c r="F23" s="61"/>
      <c r="G23" s="60" t="s">
        <v>345</v>
      </c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82"/>
    </row>
    <row r="24" spans="1:29" x14ac:dyDescent="0.25">
      <c r="A24" s="67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82"/>
    </row>
    <row r="25" spans="1:29" x14ac:dyDescent="0.25">
      <c r="A25" s="69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2"/>
    </row>
    <row r="26" spans="1:29" x14ac:dyDescent="0.25">
      <c r="A26" s="69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2"/>
    </row>
    <row r="27" spans="1:29" x14ac:dyDescent="0.25">
      <c r="A27" s="69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2"/>
    </row>
    <row r="28" spans="1:29" x14ac:dyDescent="0.25">
      <c r="A28" s="69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2"/>
    </row>
    <row r="29" spans="1:29" x14ac:dyDescent="0.25">
      <c r="A29" s="69"/>
      <c r="B29" s="70" t="s">
        <v>44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0" t="s">
        <v>45</v>
      </c>
      <c r="O29" s="70"/>
      <c r="P29" s="70"/>
      <c r="Q29" s="70"/>
      <c r="R29" s="70"/>
      <c r="S29" s="71"/>
      <c r="T29" s="71"/>
      <c r="U29" s="71"/>
      <c r="V29" s="71"/>
      <c r="W29" s="71"/>
      <c r="X29" s="71"/>
      <c r="Y29" s="70" t="s">
        <v>46</v>
      </c>
      <c r="Z29" s="71"/>
      <c r="AA29" s="71"/>
      <c r="AB29" s="71"/>
      <c r="AC29" s="72"/>
    </row>
    <row r="30" spans="1:29" x14ac:dyDescent="0.25">
      <c r="A30" s="69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2"/>
    </row>
    <row r="31" spans="1:29" x14ac:dyDescent="0.25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5"/>
    </row>
  </sheetData>
  <mergeCells count="59">
    <mergeCell ref="A1:AC1"/>
    <mergeCell ref="A2:AC2"/>
    <mergeCell ref="A3:AC3"/>
    <mergeCell ref="C4:H4"/>
    <mergeCell ref="I4:J4"/>
    <mergeCell ref="K4:L4"/>
    <mergeCell ref="M4:N4"/>
    <mergeCell ref="P4:X4"/>
    <mergeCell ref="C5:H5"/>
    <mergeCell ref="I5:J5"/>
    <mergeCell ref="K5:L5"/>
    <mergeCell ref="M5:N5"/>
    <mergeCell ref="C6:H6"/>
    <mergeCell ref="I6:J6"/>
    <mergeCell ref="K6:L6"/>
    <mergeCell ref="M6:N6"/>
    <mergeCell ref="C7:H7"/>
    <mergeCell ref="I7:J7"/>
    <mergeCell ref="K7:L7"/>
    <mergeCell ref="M7:N7"/>
    <mergeCell ref="C8:H8"/>
    <mergeCell ref="I8:J8"/>
    <mergeCell ref="K8:L8"/>
    <mergeCell ref="M8:N8"/>
    <mergeCell ref="C9:H9"/>
    <mergeCell ref="I9:J9"/>
    <mergeCell ref="K9:L9"/>
    <mergeCell ref="M9:N9"/>
    <mergeCell ref="C10:H10"/>
    <mergeCell ref="I10:J10"/>
    <mergeCell ref="K10:L10"/>
    <mergeCell ref="M10:N10"/>
    <mergeCell ref="C11:H11"/>
    <mergeCell ref="I11:J11"/>
    <mergeCell ref="K11:L11"/>
    <mergeCell ref="M11:N11"/>
    <mergeCell ref="C12:H12"/>
    <mergeCell ref="I12:J12"/>
    <mergeCell ref="K12:L12"/>
    <mergeCell ref="M12:N12"/>
    <mergeCell ref="A13:AC13"/>
    <mergeCell ref="A14:A15"/>
    <mergeCell ref="B14:D15"/>
    <mergeCell ref="E14:G14"/>
    <mergeCell ref="H14:J14"/>
    <mergeCell ref="K14:M14"/>
    <mergeCell ref="N14:P14"/>
    <mergeCell ref="Q14:S14"/>
    <mergeCell ref="T14:V14"/>
    <mergeCell ref="W14:Y14"/>
    <mergeCell ref="A22:B22"/>
    <mergeCell ref="Z14:AB14"/>
    <mergeCell ref="AC14:AC15"/>
    <mergeCell ref="B16:D16"/>
    <mergeCell ref="B17:D17"/>
    <mergeCell ref="B18:D18"/>
    <mergeCell ref="B19:D19"/>
    <mergeCell ref="B20:D20"/>
    <mergeCell ref="B21:D21"/>
  </mergeCells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workbookViewId="0">
      <selection activeCell="I12" sqref="I12:J12"/>
    </sheetView>
  </sheetViews>
  <sheetFormatPr defaultRowHeight="15" x14ac:dyDescent="0.25"/>
  <cols>
    <col min="1" max="1" width="4.5703125" customWidth="1"/>
    <col min="2" max="2" width="3.28515625" customWidth="1"/>
    <col min="3" max="3" width="0.42578125" customWidth="1"/>
    <col min="4" max="4" width="4.140625" customWidth="1"/>
    <col min="5" max="5" width="4.5703125" customWidth="1"/>
    <col min="6" max="6" width="4" customWidth="1"/>
    <col min="7" max="7" width="3.85546875" customWidth="1"/>
    <col min="8" max="8" width="3" customWidth="1"/>
    <col min="9" max="9" width="3.7109375" customWidth="1"/>
    <col min="10" max="10" width="4.5703125" customWidth="1"/>
    <col min="11" max="11" width="3.85546875" customWidth="1"/>
    <col min="12" max="12" width="2.85546875" customWidth="1"/>
    <col min="13" max="13" width="4.5703125" customWidth="1"/>
    <col min="14" max="14" width="3.5703125" customWidth="1"/>
    <col min="15" max="15" width="3.42578125" customWidth="1"/>
    <col min="16" max="16" width="4.7109375" customWidth="1"/>
    <col min="17" max="17" width="3.5703125" customWidth="1"/>
    <col min="18" max="18" width="3" customWidth="1"/>
    <col min="19" max="20" width="3.7109375" customWidth="1"/>
    <col min="21" max="21" width="3.42578125" customWidth="1"/>
    <col min="22" max="22" width="3.5703125" customWidth="1"/>
    <col min="23" max="23" width="4.42578125" customWidth="1"/>
    <col min="24" max="24" width="4.28515625" customWidth="1"/>
    <col min="25" max="25" width="4.5703125" customWidth="1"/>
    <col min="26" max="26" width="5.42578125" customWidth="1"/>
    <col min="27" max="27" width="4.42578125" customWidth="1"/>
    <col min="28" max="28" width="5" customWidth="1"/>
    <col min="29" max="29" width="8.42578125" customWidth="1"/>
  </cols>
  <sheetData>
    <row r="1" spans="1:29" ht="15.75" x14ac:dyDescent="0.25">
      <c r="A1" s="208" t="s">
        <v>16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10"/>
    </row>
    <row r="2" spans="1:29" ht="15.75" x14ac:dyDescent="0.25">
      <c r="A2" s="211" t="s">
        <v>48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3"/>
    </row>
    <row r="3" spans="1:29" ht="16.5" thickBot="1" x14ac:dyDescent="0.3">
      <c r="A3" s="214" t="s">
        <v>332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6"/>
    </row>
    <row r="4" spans="1:29" x14ac:dyDescent="0.25">
      <c r="A4" s="62"/>
      <c r="B4" s="81" t="s">
        <v>17</v>
      </c>
      <c r="C4" s="217" t="s">
        <v>18</v>
      </c>
      <c r="D4" s="218"/>
      <c r="E4" s="218"/>
      <c r="F4" s="218"/>
      <c r="G4" s="218"/>
      <c r="H4" s="219"/>
      <c r="I4" s="220" t="s">
        <v>15</v>
      </c>
      <c r="J4" s="221"/>
      <c r="K4" s="220" t="s">
        <v>13</v>
      </c>
      <c r="L4" s="221"/>
      <c r="M4" s="220" t="s">
        <v>6</v>
      </c>
      <c r="N4" s="221"/>
      <c r="O4" s="50"/>
      <c r="P4" s="222"/>
      <c r="Q4" s="222"/>
      <c r="R4" s="222"/>
      <c r="S4" s="222"/>
      <c r="T4" s="222"/>
      <c r="U4" s="222"/>
      <c r="V4" s="222"/>
      <c r="W4" s="222"/>
      <c r="X4" s="222"/>
      <c r="Y4" s="50"/>
      <c r="Z4" s="50"/>
      <c r="AA4" s="50"/>
      <c r="AB4" s="50"/>
      <c r="AC4" s="63"/>
    </row>
    <row r="5" spans="1:29" x14ac:dyDescent="0.25">
      <c r="A5" s="62"/>
      <c r="B5" s="58">
        <v>1</v>
      </c>
      <c r="C5" s="204" t="s">
        <v>19</v>
      </c>
      <c r="D5" s="204"/>
      <c r="E5" s="204"/>
      <c r="F5" s="204"/>
      <c r="G5" s="204"/>
      <c r="H5" s="204"/>
      <c r="I5" s="205">
        <v>16</v>
      </c>
      <c r="J5" s="205"/>
      <c r="K5" s="205">
        <v>16</v>
      </c>
      <c r="L5" s="205"/>
      <c r="M5" s="205">
        <f>(I5+K5)</f>
        <v>32</v>
      </c>
      <c r="N5" s="205"/>
      <c r="O5" s="50"/>
      <c r="P5" s="50"/>
      <c r="Q5" s="50"/>
      <c r="R5" s="50"/>
      <c r="S5" s="51"/>
      <c r="T5" s="51"/>
      <c r="U5" s="52"/>
      <c r="V5" s="52"/>
      <c r="W5" s="53"/>
      <c r="X5" s="51"/>
      <c r="Y5" s="51"/>
      <c r="Z5" s="50"/>
      <c r="AA5" s="50"/>
      <c r="AB5" s="50"/>
      <c r="AC5" s="63"/>
    </row>
    <row r="6" spans="1:29" x14ac:dyDescent="0.25">
      <c r="A6" s="62"/>
      <c r="B6" s="58">
        <v>2</v>
      </c>
      <c r="C6" s="204" t="s">
        <v>20</v>
      </c>
      <c r="D6" s="204"/>
      <c r="E6" s="204"/>
      <c r="F6" s="204"/>
      <c r="G6" s="204"/>
      <c r="H6" s="204"/>
      <c r="I6" s="205">
        <v>14</v>
      </c>
      <c r="J6" s="205"/>
      <c r="K6" s="205">
        <v>15</v>
      </c>
      <c r="L6" s="205"/>
      <c r="M6" s="205">
        <f>(I6+K6)</f>
        <v>29</v>
      </c>
      <c r="N6" s="205"/>
      <c r="O6" s="50"/>
      <c r="P6" s="50"/>
      <c r="Q6" s="50"/>
      <c r="R6" s="50"/>
      <c r="S6" s="51"/>
      <c r="T6" s="51"/>
      <c r="U6" s="52"/>
      <c r="V6" s="52"/>
      <c r="W6" s="53"/>
      <c r="X6" s="51"/>
      <c r="Y6" s="51"/>
      <c r="Z6" s="50"/>
      <c r="AA6" s="50"/>
      <c r="AB6" s="50"/>
      <c r="AC6" s="63"/>
    </row>
    <row r="7" spans="1:29" x14ac:dyDescent="0.25">
      <c r="A7" s="62"/>
      <c r="B7" s="58">
        <v>3</v>
      </c>
      <c r="C7" s="204" t="s">
        <v>21</v>
      </c>
      <c r="D7" s="204"/>
      <c r="E7" s="204"/>
      <c r="F7" s="204"/>
      <c r="G7" s="204"/>
      <c r="H7" s="204"/>
      <c r="I7" s="205">
        <v>0</v>
      </c>
      <c r="J7" s="205"/>
      <c r="K7" s="205">
        <v>0</v>
      </c>
      <c r="L7" s="205"/>
      <c r="M7" s="205">
        <f t="shared" ref="M7:M11" si="0">(I7+K7)</f>
        <v>0</v>
      </c>
      <c r="N7" s="205"/>
      <c r="O7" s="50"/>
      <c r="P7" s="50"/>
      <c r="Q7" s="50"/>
      <c r="R7" s="50"/>
      <c r="S7" s="51"/>
      <c r="T7" s="51"/>
      <c r="U7" s="52"/>
      <c r="V7" s="52"/>
      <c r="W7" s="53"/>
      <c r="X7" s="51"/>
      <c r="Y7" s="51"/>
      <c r="Z7" s="50"/>
      <c r="AA7" s="50"/>
      <c r="AB7" s="50"/>
      <c r="AC7" s="63"/>
    </row>
    <row r="8" spans="1:29" x14ac:dyDescent="0.25">
      <c r="A8" s="62"/>
      <c r="B8" s="58">
        <v>4</v>
      </c>
      <c r="C8" s="204" t="s">
        <v>22</v>
      </c>
      <c r="D8" s="204"/>
      <c r="E8" s="204"/>
      <c r="F8" s="204"/>
      <c r="G8" s="204"/>
      <c r="H8" s="204"/>
      <c r="I8" s="205">
        <v>0</v>
      </c>
      <c r="J8" s="205"/>
      <c r="K8" s="205">
        <v>0</v>
      </c>
      <c r="L8" s="205"/>
      <c r="M8" s="205">
        <f t="shared" si="0"/>
        <v>0</v>
      </c>
      <c r="N8" s="205"/>
      <c r="O8" s="50"/>
      <c r="P8" s="50"/>
      <c r="Q8" s="50"/>
      <c r="R8" s="50"/>
      <c r="S8" s="51"/>
      <c r="T8" s="51"/>
      <c r="U8" s="52"/>
      <c r="V8" s="52"/>
      <c r="W8" s="53"/>
      <c r="X8" s="51"/>
      <c r="Y8" s="51"/>
      <c r="Z8" s="50"/>
      <c r="AA8" s="50"/>
      <c r="AB8" s="50"/>
      <c r="AC8" s="63"/>
    </row>
    <row r="9" spans="1:29" x14ac:dyDescent="0.25">
      <c r="A9" s="62"/>
      <c r="B9" s="58">
        <v>9</v>
      </c>
      <c r="C9" s="204" t="s">
        <v>23</v>
      </c>
      <c r="D9" s="204"/>
      <c r="E9" s="204"/>
      <c r="F9" s="204"/>
      <c r="G9" s="204"/>
      <c r="H9" s="204"/>
      <c r="I9" s="205">
        <v>0</v>
      </c>
      <c r="J9" s="205"/>
      <c r="K9" s="205">
        <v>0</v>
      </c>
      <c r="L9" s="205"/>
      <c r="M9" s="205">
        <f t="shared" si="0"/>
        <v>0</v>
      </c>
      <c r="N9" s="205"/>
      <c r="O9" s="50"/>
      <c r="P9" s="50"/>
      <c r="Q9" s="50"/>
      <c r="R9" s="50"/>
      <c r="S9" s="51"/>
      <c r="T9" s="51"/>
      <c r="U9" s="54"/>
      <c r="V9" s="54"/>
      <c r="W9" s="53"/>
      <c r="X9" s="51"/>
      <c r="Y9" s="51"/>
      <c r="Z9" s="50"/>
      <c r="AA9" s="50"/>
      <c r="AB9" s="50"/>
      <c r="AC9" s="63"/>
    </row>
    <row r="10" spans="1:29" x14ac:dyDescent="0.25">
      <c r="A10" s="62"/>
      <c r="B10" s="58">
        <v>10</v>
      </c>
      <c r="C10" s="204" t="s">
        <v>24</v>
      </c>
      <c r="D10" s="204"/>
      <c r="E10" s="204"/>
      <c r="F10" s="204"/>
      <c r="G10" s="204"/>
      <c r="H10" s="204"/>
      <c r="I10" s="205">
        <v>2</v>
      </c>
      <c r="J10" s="205"/>
      <c r="K10" s="205">
        <v>1</v>
      </c>
      <c r="L10" s="205"/>
      <c r="M10" s="205">
        <f t="shared" si="0"/>
        <v>3</v>
      </c>
      <c r="N10" s="205"/>
      <c r="O10" s="50"/>
      <c r="P10" s="50"/>
      <c r="Q10" s="50"/>
      <c r="R10" s="50"/>
      <c r="S10" s="50"/>
      <c r="T10" s="50"/>
      <c r="U10" s="55"/>
      <c r="V10" s="55"/>
      <c r="W10" s="56"/>
      <c r="X10" s="50"/>
      <c r="Y10" s="50"/>
      <c r="Z10" s="50"/>
      <c r="AA10" s="50"/>
      <c r="AB10" s="50"/>
      <c r="AC10" s="63"/>
    </row>
    <row r="11" spans="1:29" x14ac:dyDescent="0.25">
      <c r="A11" s="62"/>
      <c r="B11" s="58">
        <v>12</v>
      </c>
      <c r="C11" s="204" t="s">
        <v>25</v>
      </c>
      <c r="D11" s="204"/>
      <c r="E11" s="204"/>
      <c r="F11" s="204"/>
      <c r="G11" s="204"/>
      <c r="H11" s="204"/>
      <c r="I11" s="205">
        <v>14</v>
      </c>
      <c r="J11" s="205"/>
      <c r="K11" s="205">
        <v>15</v>
      </c>
      <c r="L11" s="205"/>
      <c r="M11" s="205">
        <f t="shared" si="0"/>
        <v>29</v>
      </c>
      <c r="N11" s="205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63"/>
    </row>
    <row r="12" spans="1:29" x14ac:dyDescent="0.25">
      <c r="A12" s="62"/>
      <c r="B12" s="58">
        <v>13</v>
      </c>
      <c r="C12" s="206" t="s">
        <v>26</v>
      </c>
      <c r="D12" s="206"/>
      <c r="E12" s="206"/>
      <c r="F12" s="206"/>
      <c r="G12" s="206"/>
      <c r="H12" s="206"/>
      <c r="I12" s="205">
        <f>(I11/I5*100)</f>
        <v>87.5</v>
      </c>
      <c r="J12" s="205"/>
      <c r="K12" s="205">
        <f>(K11/K5*100)</f>
        <v>93.75</v>
      </c>
      <c r="L12" s="205"/>
      <c r="M12" s="207">
        <f>(M11/M5)*100</f>
        <v>90.625</v>
      </c>
      <c r="N12" s="207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63"/>
    </row>
    <row r="13" spans="1:29" x14ac:dyDescent="0.25">
      <c r="A13" s="200" t="s">
        <v>27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2"/>
    </row>
    <row r="14" spans="1:29" x14ac:dyDescent="0.25">
      <c r="A14" s="203" t="s">
        <v>28</v>
      </c>
      <c r="B14" s="199" t="s">
        <v>29</v>
      </c>
      <c r="C14" s="199"/>
      <c r="D14" s="199"/>
      <c r="E14" s="199" t="s">
        <v>19</v>
      </c>
      <c r="F14" s="199"/>
      <c r="G14" s="199"/>
      <c r="H14" s="199" t="s">
        <v>30</v>
      </c>
      <c r="I14" s="199"/>
      <c r="J14" s="199"/>
      <c r="K14" s="199" t="s">
        <v>31</v>
      </c>
      <c r="L14" s="199"/>
      <c r="M14" s="199"/>
      <c r="N14" s="199" t="s">
        <v>32</v>
      </c>
      <c r="O14" s="199"/>
      <c r="P14" s="199"/>
      <c r="Q14" s="199" t="s">
        <v>33</v>
      </c>
      <c r="R14" s="199"/>
      <c r="S14" s="199"/>
      <c r="T14" s="199" t="s">
        <v>34</v>
      </c>
      <c r="U14" s="199"/>
      <c r="V14" s="199"/>
      <c r="W14" s="199" t="s">
        <v>35</v>
      </c>
      <c r="X14" s="199"/>
      <c r="Y14" s="199"/>
      <c r="Z14" s="199" t="s">
        <v>36</v>
      </c>
      <c r="AA14" s="199"/>
      <c r="AB14" s="199"/>
      <c r="AC14" s="199" t="s">
        <v>37</v>
      </c>
    </row>
    <row r="15" spans="1:29" x14ac:dyDescent="0.25">
      <c r="A15" s="203"/>
      <c r="B15" s="199"/>
      <c r="C15" s="199"/>
      <c r="D15" s="199"/>
      <c r="E15" s="57" t="s">
        <v>15</v>
      </c>
      <c r="F15" s="57" t="s">
        <v>13</v>
      </c>
      <c r="G15" s="57" t="s">
        <v>38</v>
      </c>
      <c r="H15" s="57" t="s">
        <v>15</v>
      </c>
      <c r="I15" s="57" t="s">
        <v>13</v>
      </c>
      <c r="J15" s="57" t="s">
        <v>38</v>
      </c>
      <c r="K15" s="57" t="s">
        <v>15</v>
      </c>
      <c r="L15" s="57" t="s">
        <v>13</v>
      </c>
      <c r="M15" s="57" t="s">
        <v>38</v>
      </c>
      <c r="N15" s="57" t="s">
        <v>15</v>
      </c>
      <c r="O15" s="57" t="s">
        <v>13</v>
      </c>
      <c r="P15" s="57" t="s">
        <v>38</v>
      </c>
      <c r="Q15" s="57" t="s">
        <v>15</v>
      </c>
      <c r="R15" s="57" t="s">
        <v>13</v>
      </c>
      <c r="S15" s="57" t="s">
        <v>38</v>
      </c>
      <c r="T15" s="57" t="s">
        <v>15</v>
      </c>
      <c r="U15" s="57" t="s">
        <v>13</v>
      </c>
      <c r="V15" s="57" t="s">
        <v>38</v>
      </c>
      <c r="W15" s="57" t="s">
        <v>15</v>
      </c>
      <c r="X15" s="57" t="s">
        <v>13</v>
      </c>
      <c r="Y15" s="57" t="s">
        <v>38</v>
      </c>
      <c r="Z15" s="57" t="s">
        <v>15</v>
      </c>
      <c r="AA15" s="57" t="s">
        <v>13</v>
      </c>
      <c r="AB15" s="57" t="s">
        <v>38</v>
      </c>
      <c r="AC15" s="199"/>
    </row>
    <row r="16" spans="1:29" ht="15" customHeight="1" x14ac:dyDescent="0.25">
      <c r="A16" s="58">
        <v>1</v>
      </c>
      <c r="B16" s="195" t="s">
        <v>247</v>
      </c>
      <c r="C16" s="195"/>
      <c r="D16" s="195"/>
      <c r="E16" s="58">
        <v>16</v>
      </c>
      <c r="F16" s="58">
        <v>16</v>
      </c>
      <c r="G16" s="58">
        <f>SUM(E16+F16)</f>
        <v>32</v>
      </c>
      <c r="H16" s="58">
        <v>5</v>
      </c>
      <c r="I16" s="58">
        <v>11</v>
      </c>
      <c r="J16" s="58">
        <f>SUM(H16+I16)</f>
        <v>16</v>
      </c>
      <c r="K16" s="58">
        <v>9</v>
      </c>
      <c r="L16" s="58">
        <v>4</v>
      </c>
      <c r="M16" s="58">
        <f>SUM(K16+L16)</f>
        <v>13</v>
      </c>
      <c r="N16" s="58">
        <v>1</v>
      </c>
      <c r="O16" s="58">
        <v>0</v>
      </c>
      <c r="P16" s="58">
        <f>SUM(N16+O16)</f>
        <v>1</v>
      </c>
      <c r="Q16" s="58">
        <v>0</v>
      </c>
      <c r="R16" s="58">
        <v>0</v>
      </c>
      <c r="S16" s="58">
        <f>SUM(Q16+R16)</f>
        <v>0</v>
      </c>
      <c r="T16" s="58">
        <v>1</v>
      </c>
      <c r="U16" s="58">
        <v>1</v>
      </c>
      <c r="V16" s="58">
        <f>SUM(T16+U16)</f>
        <v>2</v>
      </c>
      <c r="W16" s="58">
        <f>'7th Sem AIML'!W16</f>
        <v>18</v>
      </c>
      <c r="X16" s="58">
        <f t="shared" ref="W16:X18" si="1">SUM(I16,L16,O16,R16)</f>
        <v>15</v>
      </c>
      <c r="Y16" s="58">
        <f>SUM(W16+X16)</f>
        <v>33</v>
      </c>
      <c r="Z16" s="77">
        <f>(W16*100/E16)</f>
        <v>112.5</v>
      </c>
      <c r="AA16" s="77">
        <f>(X16*100)/F16</f>
        <v>93.75</v>
      </c>
      <c r="AB16" s="77">
        <f>Y16*100/G16</f>
        <v>103.125</v>
      </c>
      <c r="AC16" s="78" t="s">
        <v>323</v>
      </c>
    </row>
    <row r="17" spans="1:29" x14ac:dyDescent="0.25">
      <c r="A17" s="59">
        <v>2</v>
      </c>
      <c r="B17" s="195" t="s">
        <v>248</v>
      </c>
      <c r="C17" s="195"/>
      <c r="D17" s="195"/>
      <c r="E17" s="58">
        <v>16</v>
      </c>
      <c r="F17" s="58">
        <v>16</v>
      </c>
      <c r="G17" s="58">
        <f t="shared" ref="G17:G21" si="2">SUM(E17+F17)</f>
        <v>32</v>
      </c>
      <c r="H17" s="59">
        <v>13</v>
      </c>
      <c r="I17" s="59">
        <v>14</v>
      </c>
      <c r="J17" s="58">
        <f t="shared" ref="J17:J21" si="3">SUM(H17+I17)</f>
        <v>27</v>
      </c>
      <c r="K17" s="59">
        <v>2</v>
      </c>
      <c r="L17" s="59">
        <v>2</v>
      </c>
      <c r="M17" s="58">
        <f t="shared" ref="M17:M21" si="4">SUM(K17+L17)</f>
        <v>4</v>
      </c>
      <c r="N17" s="59">
        <v>0</v>
      </c>
      <c r="O17" s="59">
        <v>0</v>
      </c>
      <c r="P17" s="58">
        <f t="shared" ref="P17:P21" si="5">SUM(N17+O17)</f>
        <v>0</v>
      </c>
      <c r="Q17" s="58">
        <v>0</v>
      </c>
      <c r="R17" s="59">
        <v>0</v>
      </c>
      <c r="S17" s="58">
        <f t="shared" ref="S17:S21" si="6">SUM(Q17+R17)</f>
        <v>0</v>
      </c>
      <c r="T17" s="59">
        <v>1</v>
      </c>
      <c r="U17" s="59">
        <v>0</v>
      </c>
      <c r="V17" s="58">
        <f t="shared" ref="V17:V21" si="7">SUM(T17+U17)</f>
        <v>1</v>
      </c>
      <c r="W17" s="58">
        <f t="shared" si="1"/>
        <v>15</v>
      </c>
      <c r="X17" s="58">
        <f t="shared" si="1"/>
        <v>16</v>
      </c>
      <c r="Y17" s="58">
        <f t="shared" ref="Y17:Y21" si="8">SUM(W17+X17)</f>
        <v>31</v>
      </c>
      <c r="Z17" s="77">
        <f t="shared" ref="Z17:Z21" si="9">(W17*100/E17)</f>
        <v>93.75</v>
      </c>
      <c r="AA17" s="77">
        <f t="shared" ref="AA17:AA21" si="10">(X17*100)/F17</f>
        <v>100</v>
      </c>
      <c r="AB17" s="77">
        <f t="shared" ref="AB17:AB21" si="11">Y17*100/G17</f>
        <v>96.875</v>
      </c>
      <c r="AC17" s="79" t="s">
        <v>331</v>
      </c>
    </row>
    <row r="18" spans="1:29" x14ac:dyDescent="0.25">
      <c r="A18" s="59">
        <v>3</v>
      </c>
      <c r="B18" s="195" t="s">
        <v>316</v>
      </c>
      <c r="C18" s="195"/>
      <c r="D18" s="195"/>
      <c r="E18" s="58">
        <v>16</v>
      </c>
      <c r="F18" s="58">
        <v>16</v>
      </c>
      <c r="G18" s="58">
        <f t="shared" si="2"/>
        <v>32</v>
      </c>
      <c r="H18" s="59">
        <v>11</v>
      </c>
      <c r="I18" s="59">
        <v>11</v>
      </c>
      <c r="J18" s="58">
        <f t="shared" si="3"/>
        <v>22</v>
      </c>
      <c r="K18" s="59">
        <v>4</v>
      </c>
      <c r="L18" s="59">
        <v>4</v>
      </c>
      <c r="M18" s="58">
        <f t="shared" si="4"/>
        <v>8</v>
      </c>
      <c r="N18" s="59">
        <v>1</v>
      </c>
      <c r="O18" s="59">
        <v>1</v>
      </c>
      <c r="P18" s="58">
        <f t="shared" si="5"/>
        <v>2</v>
      </c>
      <c r="Q18" s="58">
        <v>0</v>
      </c>
      <c r="R18" s="59">
        <v>0</v>
      </c>
      <c r="S18" s="58">
        <f t="shared" si="6"/>
        <v>0</v>
      </c>
      <c r="T18" s="59">
        <v>0</v>
      </c>
      <c r="U18" s="59">
        <v>0</v>
      </c>
      <c r="V18" s="58">
        <f t="shared" si="7"/>
        <v>0</v>
      </c>
      <c r="W18" s="58">
        <f t="shared" si="1"/>
        <v>16</v>
      </c>
      <c r="X18" s="58">
        <f t="shared" si="1"/>
        <v>16</v>
      </c>
      <c r="Y18" s="58">
        <f t="shared" si="8"/>
        <v>32</v>
      </c>
      <c r="Z18" s="77">
        <f t="shared" si="9"/>
        <v>100</v>
      </c>
      <c r="AA18" s="77">
        <f t="shared" si="10"/>
        <v>100</v>
      </c>
      <c r="AB18" s="77">
        <f t="shared" si="11"/>
        <v>100</v>
      </c>
      <c r="AC18" s="79" t="s">
        <v>39</v>
      </c>
    </row>
    <row r="19" spans="1:29" ht="15" customHeight="1" x14ac:dyDescent="0.25">
      <c r="A19" s="59">
        <v>4</v>
      </c>
      <c r="B19" s="194" t="s">
        <v>317</v>
      </c>
      <c r="C19" s="194"/>
      <c r="D19" s="194"/>
      <c r="E19" s="58">
        <v>16</v>
      </c>
      <c r="F19" s="58">
        <v>16</v>
      </c>
      <c r="G19" s="58">
        <f t="shared" si="2"/>
        <v>32</v>
      </c>
      <c r="H19" s="59">
        <v>16</v>
      </c>
      <c r="I19" s="59">
        <v>16</v>
      </c>
      <c r="J19" s="58">
        <f t="shared" si="3"/>
        <v>32</v>
      </c>
      <c r="K19" s="59">
        <v>0</v>
      </c>
      <c r="L19" s="59">
        <v>0</v>
      </c>
      <c r="M19" s="58">
        <f t="shared" si="4"/>
        <v>0</v>
      </c>
      <c r="N19" s="59">
        <v>0</v>
      </c>
      <c r="O19" s="59">
        <v>0</v>
      </c>
      <c r="P19" s="58">
        <f t="shared" si="5"/>
        <v>0</v>
      </c>
      <c r="Q19" s="59">
        <v>0</v>
      </c>
      <c r="R19" s="59">
        <v>0</v>
      </c>
      <c r="S19" s="58">
        <f t="shared" si="6"/>
        <v>0</v>
      </c>
      <c r="T19" s="59">
        <v>0</v>
      </c>
      <c r="U19" s="59">
        <v>0</v>
      </c>
      <c r="V19" s="58">
        <f t="shared" si="7"/>
        <v>0</v>
      </c>
      <c r="W19" s="58">
        <f>SUM(H19,K19,N19,Q19)</f>
        <v>16</v>
      </c>
      <c r="X19" s="58">
        <f>SUM(I19,L19,O19,R19)</f>
        <v>16</v>
      </c>
      <c r="Y19" s="58">
        <f t="shared" si="8"/>
        <v>32</v>
      </c>
      <c r="Z19" s="77">
        <f t="shared" si="9"/>
        <v>100</v>
      </c>
      <c r="AA19" s="77">
        <f t="shared" si="10"/>
        <v>100</v>
      </c>
      <c r="AB19" s="77">
        <f t="shared" si="11"/>
        <v>100</v>
      </c>
      <c r="AC19" s="79" t="s">
        <v>325</v>
      </c>
    </row>
    <row r="20" spans="1:29" x14ac:dyDescent="0.25">
      <c r="A20" s="59">
        <v>5</v>
      </c>
      <c r="B20" s="194" t="s">
        <v>318</v>
      </c>
      <c r="C20" s="194"/>
      <c r="D20" s="194"/>
      <c r="E20" s="58">
        <v>16</v>
      </c>
      <c r="F20" s="58">
        <v>16</v>
      </c>
      <c r="G20" s="58">
        <f t="shared" si="2"/>
        <v>32</v>
      </c>
      <c r="H20" s="59">
        <v>15</v>
      </c>
      <c r="I20" s="59">
        <v>16</v>
      </c>
      <c r="J20" s="58">
        <f t="shared" si="3"/>
        <v>31</v>
      </c>
      <c r="K20" s="59">
        <v>1</v>
      </c>
      <c r="L20" s="59">
        <v>0</v>
      </c>
      <c r="M20" s="58">
        <f t="shared" si="4"/>
        <v>1</v>
      </c>
      <c r="N20" s="59">
        <v>0</v>
      </c>
      <c r="O20" s="59">
        <v>0</v>
      </c>
      <c r="P20" s="58">
        <f t="shared" si="5"/>
        <v>0</v>
      </c>
      <c r="Q20" s="59">
        <v>0</v>
      </c>
      <c r="R20" s="59">
        <v>0</v>
      </c>
      <c r="S20" s="58">
        <f t="shared" si="6"/>
        <v>0</v>
      </c>
      <c r="T20" s="59">
        <v>0</v>
      </c>
      <c r="U20" s="59">
        <v>0</v>
      </c>
      <c r="V20" s="58">
        <f t="shared" si="7"/>
        <v>0</v>
      </c>
      <c r="W20" s="58">
        <f t="shared" ref="W20:X21" si="12">SUM(H20,K20,N20,Q20)</f>
        <v>16</v>
      </c>
      <c r="X20" s="58">
        <f t="shared" si="12"/>
        <v>16</v>
      </c>
      <c r="Y20" s="58">
        <f t="shared" si="8"/>
        <v>32</v>
      </c>
      <c r="Z20" s="77">
        <f t="shared" si="9"/>
        <v>100</v>
      </c>
      <c r="AA20" s="77">
        <f t="shared" si="10"/>
        <v>100</v>
      </c>
      <c r="AB20" s="77">
        <f t="shared" si="11"/>
        <v>100</v>
      </c>
      <c r="AC20" s="79" t="s">
        <v>326</v>
      </c>
    </row>
    <row r="21" spans="1:29" x14ac:dyDescent="0.25">
      <c r="A21" s="59">
        <v>6</v>
      </c>
      <c r="B21" s="195" t="s">
        <v>319</v>
      </c>
      <c r="C21" s="196"/>
      <c r="D21" s="196"/>
      <c r="E21" s="58">
        <v>16</v>
      </c>
      <c r="F21" s="58">
        <v>16</v>
      </c>
      <c r="G21" s="58">
        <f t="shared" si="2"/>
        <v>32</v>
      </c>
      <c r="H21" s="59">
        <v>11</v>
      </c>
      <c r="I21" s="59">
        <v>11</v>
      </c>
      <c r="J21" s="58">
        <f t="shared" si="3"/>
        <v>22</v>
      </c>
      <c r="K21" s="59">
        <v>5</v>
      </c>
      <c r="L21" s="59">
        <v>5</v>
      </c>
      <c r="M21" s="58">
        <f t="shared" si="4"/>
        <v>10</v>
      </c>
      <c r="N21" s="59">
        <v>0</v>
      </c>
      <c r="O21" s="59">
        <v>0</v>
      </c>
      <c r="P21" s="58">
        <f t="shared" si="5"/>
        <v>0</v>
      </c>
      <c r="Q21" s="59">
        <v>0</v>
      </c>
      <c r="R21" s="59">
        <v>0</v>
      </c>
      <c r="S21" s="58">
        <f t="shared" si="6"/>
        <v>0</v>
      </c>
      <c r="T21" s="59">
        <v>0</v>
      </c>
      <c r="U21" s="59">
        <v>0</v>
      </c>
      <c r="V21" s="58">
        <f t="shared" si="7"/>
        <v>0</v>
      </c>
      <c r="W21" s="58">
        <f t="shared" si="12"/>
        <v>16</v>
      </c>
      <c r="X21" s="58">
        <f t="shared" si="12"/>
        <v>16</v>
      </c>
      <c r="Y21" s="58">
        <f t="shared" si="8"/>
        <v>32</v>
      </c>
      <c r="Z21" s="77">
        <f t="shared" si="9"/>
        <v>100</v>
      </c>
      <c r="AA21" s="77">
        <f t="shared" si="10"/>
        <v>100</v>
      </c>
      <c r="AB21" s="77">
        <f t="shared" si="11"/>
        <v>100</v>
      </c>
      <c r="AC21" s="79" t="s">
        <v>325</v>
      </c>
    </row>
    <row r="22" spans="1:29" x14ac:dyDescent="0.25">
      <c r="A22" s="197" t="s">
        <v>40</v>
      </c>
      <c r="B22" s="198"/>
      <c r="C22" s="60" t="s">
        <v>41</v>
      </c>
      <c r="D22" s="60" t="s">
        <v>333</v>
      </c>
      <c r="E22" s="60"/>
      <c r="F22" s="60"/>
      <c r="G22" s="60"/>
      <c r="H22" s="60"/>
      <c r="I22" s="60"/>
      <c r="J22" s="60"/>
      <c r="K22" s="60"/>
      <c r="L22" s="60"/>
      <c r="M22" s="61"/>
      <c r="N22" s="61"/>
      <c r="O22" s="61"/>
      <c r="P22" s="60" t="s">
        <v>334</v>
      </c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82"/>
    </row>
    <row r="23" spans="1:29" x14ac:dyDescent="0.25">
      <c r="A23" s="67"/>
      <c r="B23" s="61"/>
      <c r="C23" s="61"/>
      <c r="D23" s="61"/>
      <c r="E23" s="61"/>
      <c r="F23" s="61"/>
      <c r="G23" s="60" t="s">
        <v>335</v>
      </c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82"/>
    </row>
    <row r="24" spans="1:29" x14ac:dyDescent="0.25">
      <c r="A24" s="67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82"/>
    </row>
    <row r="25" spans="1:29" x14ac:dyDescent="0.25">
      <c r="A25" s="69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2"/>
    </row>
    <row r="26" spans="1:29" x14ac:dyDescent="0.25">
      <c r="A26" s="69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2"/>
    </row>
    <row r="27" spans="1:29" x14ac:dyDescent="0.25">
      <c r="A27" s="69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2"/>
    </row>
    <row r="28" spans="1:29" x14ac:dyDescent="0.25">
      <c r="A28" s="69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2"/>
    </row>
    <row r="29" spans="1:29" x14ac:dyDescent="0.25">
      <c r="A29" s="69"/>
      <c r="B29" s="70" t="s">
        <v>44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0" t="s">
        <v>45</v>
      </c>
      <c r="O29" s="70"/>
      <c r="P29" s="70"/>
      <c r="Q29" s="70"/>
      <c r="R29" s="70"/>
      <c r="S29" s="71"/>
      <c r="T29" s="71"/>
      <c r="U29" s="71"/>
      <c r="V29" s="71"/>
      <c r="W29" s="71"/>
      <c r="X29" s="71"/>
      <c r="Y29" s="70" t="s">
        <v>46</v>
      </c>
      <c r="Z29" s="71"/>
      <c r="AA29" s="71"/>
      <c r="AB29" s="71"/>
      <c r="AC29" s="72"/>
    </row>
    <row r="30" spans="1:29" x14ac:dyDescent="0.25">
      <c r="A30" s="69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2"/>
    </row>
    <row r="31" spans="1:29" x14ac:dyDescent="0.25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5"/>
    </row>
  </sheetData>
  <mergeCells count="59">
    <mergeCell ref="A1:AC1"/>
    <mergeCell ref="A2:AC2"/>
    <mergeCell ref="A3:AC3"/>
    <mergeCell ref="C4:H4"/>
    <mergeCell ref="I4:J4"/>
    <mergeCell ref="K4:L4"/>
    <mergeCell ref="M4:N4"/>
    <mergeCell ref="P4:X4"/>
    <mergeCell ref="C5:H5"/>
    <mergeCell ref="I5:J5"/>
    <mergeCell ref="K5:L5"/>
    <mergeCell ref="M5:N5"/>
    <mergeCell ref="C6:H6"/>
    <mergeCell ref="I6:J6"/>
    <mergeCell ref="K6:L6"/>
    <mergeCell ref="M6:N6"/>
    <mergeCell ref="C7:H7"/>
    <mergeCell ref="I7:J7"/>
    <mergeCell ref="K7:L7"/>
    <mergeCell ref="M7:N7"/>
    <mergeCell ref="C8:H8"/>
    <mergeCell ref="I8:J8"/>
    <mergeCell ref="K8:L8"/>
    <mergeCell ref="M8:N8"/>
    <mergeCell ref="C9:H9"/>
    <mergeCell ref="I9:J9"/>
    <mergeCell ref="K9:L9"/>
    <mergeCell ref="M9:N9"/>
    <mergeCell ref="C10:H10"/>
    <mergeCell ref="I10:J10"/>
    <mergeCell ref="K10:L10"/>
    <mergeCell ref="M10:N10"/>
    <mergeCell ref="C11:H11"/>
    <mergeCell ref="I11:J11"/>
    <mergeCell ref="K11:L11"/>
    <mergeCell ref="M11:N11"/>
    <mergeCell ref="C12:H12"/>
    <mergeCell ref="I12:J12"/>
    <mergeCell ref="K12:L12"/>
    <mergeCell ref="M12:N12"/>
    <mergeCell ref="A13:AC13"/>
    <mergeCell ref="A14:A15"/>
    <mergeCell ref="B14:D15"/>
    <mergeCell ref="E14:G14"/>
    <mergeCell ref="H14:J14"/>
    <mergeCell ref="K14:M14"/>
    <mergeCell ref="N14:P14"/>
    <mergeCell ref="Q14:S14"/>
    <mergeCell ref="T14:V14"/>
    <mergeCell ref="W14:Y14"/>
    <mergeCell ref="A22:B22"/>
    <mergeCell ref="Z14:AB14"/>
    <mergeCell ref="AC14:AC15"/>
    <mergeCell ref="B16:D16"/>
    <mergeCell ref="B17:D17"/>
    <mergeCell ref="B18:D18"/>
    <mergeCell ref="B19:D19"/>
    <mergeCell ref="B20:D20"/>
    <mergeCell ref="B21:D21"/>
  </mergeCells>
  <pageMargins left="0.7" right="0.7" top="0.75" bottom="0.75" header="0.3" footer="0.3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workbookViewId="0">
      <selection activeCell="AA7" sqref="AA7"/>
    </sheetView>
  </sheetViews>
  <sheetFormatPr defaultRowHeight="15" x14ac:dyDescent="0.25"/>
  <cols>
    <col min="1" max="2" width="4.42578125" customWidth="1"/>
    <col min="3" max="3" width="2" customWidth="1"/>
    <col min="4" max="4" width="2.140625" customWidth="1"/>
    <col min="5" max="5" width="4.140625" customWidth="1"/>
    <col min="6" max="6" width="3.85546875" customWidth="1"/>
    <col min="7" max="7" width="4.28515625" customWidth="1"/>
    <col min="8" max="8" width="3.85546875" customWidth="1"/>
    <col min="9" max="9" width="4.42578125" customWidth="1"/>
    <col min="10" max="10" width="4.140625" customWidth="1"/>
    <col min="11" max="11" width="3.85546875" customWidth="1"/>
    <col min="12" max="12" width="4.140625" customWidth="1"/>
    <col min="13" max="13" width="4.28515625" customWidth="1"/>
    <col min="14" max="14" width="4" customWidth="1"/>
    <col min="15" max="15" width="3.42578125" customWidth="1"/>
    <col min="16" max="16" width="4" customWidth="1"/>
    <col min="17" max="18" width="3.85546875" customWidth="1"/>
    <col min="19" max="19" width="3.7109375" customWidth="1"/>
    <col min="20" max="20" width="3.85546875" customWidth="1"/>
    <col min="21" max="21" width="3.7109375" customWidth="1"/>
    <col min="22" max="22" width="3" customWidth="1"/>
    <col min="23" max="23" width="4.140625" customWidth="1"/>
    <col min="24" max="24" width="4.28515625" customWidth="1"/>
    <col min="25" max="25" width="4.140625" customWidth="1"/>
    <col min="26" max="26" width="4.5703125" customWidth="1"/>
    <col min="27" max="28" width="4.85546875" customWidth="1"/>
    <col min="29" max="29" width="10.7109375" customWidth="1"/>
  </cols>
  <sheetData>
    <row r="1" spans="1:29" ht="15.75" x14ac:dyDescent="0.25">
      <c r="A1" s="208" t="s">
        <v>16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10"/>
    </row>
    <row r="2" spans="1:29" ht="15.75" x14ac:dyDescent="0.25">
      <c r="A2" s="214" t="s">
        <v>47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6"/>
    </row>
    <row r="3" spans="1:29" ht="15.75" x14ac:dyDescent="0.25">
      <c r="A3" s="208" t="s">
        <v>339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10"/>
    </row>
    <row r="4" spans="1:29" x14ac:dyDescent="0.25">
      <c r="A4" s="62"/>
      <c r="B4" s="80" t="s">
        <v>17</v>
      </c>
      <c r="C4" s="217" t="s">
        <v>18</v>
      </c>
      <c r="D4" s="218"/>
      <c r="E4" s="218"/>
      <c r="F4" s="218"/>
      <c r="G4" s="218"/>
      <c r="H4" s="219"/>
      <c r="I4" s="220" t="s">
        <v>15</v>
      </c>
      <c r="J4" s="221"/>
      <c r="K4" s="220" t="s">
        <v>13</v>
      </c>
      <c r="L4" s="221"/>
      <c r="M4" s="220" t="s">
        <v>6</v>
      </c>
      <c r="N4" s="221"/>
      <c r="O4" s="50"/>
      <c r="P4" s="222"/>
      <c r="Q4" s="222"/>
      <c r="R4" s="222"/>
      <c r="S4" s="222"/>
      <c r="T4" s="222"/>
      <c r="U4" s="222"/>
      <c r="V4" s="222"/>
      <c r="W4" s="222"/>
      <c r="X4" s="222"/>
      <c r="Y4" s="50"/>
      <c r="Z4" s="50"/>
      <c r="AA4" s="50"/>
      <c r="AB4" s="50"/>
      <c r="AC4" s="63"/>
    </row>
    <row r="5" spans="1:29" x14ac:dyDescent="0.25">
      <c r="A5" s="62"/>
      <c r="B5" s="58">
        <v>1</v>
      </c>
      <c r="C5" s="204" t="s">
        <v>19</v>
      </c>
      <c r="D5" s="204"/>
      <c r="E5" s="204"/>
      <c r="F5" s="204"/>
      <c r="G5" s="204"/>
      <c r="H5" s="204"/>
      <c r="I5" s="205">
        <v>18</v>
      </c>
      <c r="J5" s="205"/>
      <c r="K5" s="205">
        <v>15</v>
      </c>
      <c r="L5" s="205"/>
      <c r="M5" s="205">
        <f>SUM(I5+K5)</f>
        <v>33</v>
      </c>
      <c r="N5" s="205"/>
      <c r="O5" s="50"/>
      <c r="P5" s="50"/>
      <c r="Q5" s="50"/>
      <c r="R5" s="50"/>
      <c r="S5" s="51"/>
      <c r="T5" s="51"/>
      <c r="U5" s="52"/>
      <c r="V5" s="52"/>
      <c r="W5" s="53"/>
      <c r="X5" s="51"/>
      <c r="Y5" s="51"/>
      <c r="Z5" s="50"/>
      <c r="AA5" s="50"/>
      <c r="AB5" s="50"/>
      <c r="AC5" s="63"/>
    </row>
    <row r="6" spans="1:29" x14ac:dyDescent="0.25">
      <c r="A6" s="62"/>
      <c r="B6" s="58">
        <v>2</v>
      </c>
      <c r="C6" s="204" t="s">
        <v>20</v>
      </c>
      <c r="D6" s="204"/>
      <c r="E6" s="204"/>
      <c r="F6" s="204"/>
      <c r="G6" s="204"/>
      <c r="H6" s="204"/>
      <c r="I6" s="205">
        <v>15</v>
      </c>
      <c r="J6" s="205"/>
      <c r="K6" s="205">
        <v>14</v>
      </c>
      <c r="L6" s="205"/>
      <c r="M6" s="205">
        <f t="shared" ref="M6:M11" si="0">SUM(I6+K6)</f>
        <v>29</v>
      </c>
      <c r="N6" s="205"/>
      <c r="O6" s="50"/>
      <c r="P6" s="50"/>
      <c r="Q6" s="50"/>
      <c r="R6" s="50"/>
      <c r="S6" s="51"/>
      <c r="T6" s="51"/>
      <c r="U6" s="52"/>
      <c r="V6" s="52"/>
      <c r="W6" s="53"/>
      <c r="X6" s="51"/>
      <c r="Y6" s="51"/>
      <c r="Z6" s="50"/>
      <c r="AA6" s="50"/>
      <c r="AB6" s="50"/>
      <c r="AC6" s="63"/>
    </row>
    <row r="7" spans="1:29" x14ac:dyDescent="0.25">
      <c r="A7" s="62"/>
      <c r="B7" s="58">
        <v>3</v>
      </c>
      <c r="C7" s="204" t="s">
        <v>21</v>
      </c>
      <c r="D7" s="204"/>
      <c r="E7" s="204"/>
      <c r="F7" s="204"/>
      <c r="G7" s="204"/>
      <c r="H7" s="204"/>
      <c r="I7" s="205">
        <v>0</v>
      </c>
      <c r="J7" s="205"/>
      <c r="K7" s="205">
        <v>0</v>
      </c>
      <c r="L7" s="205"/>
      <c r="M7" s="205">
        <f t="shared" si="0"/>
        <v>0</v>
      </c>
      <c r="N7" s="205"/>
      <c r="O7" s="50"/>
      <c r="P7" s="50"/>
      <c r="Q7" s="50"/>
      <c r="R7" s="50"/>
      <c r="S7" s="51"/>
      <c r="T7" s="51"/>
      <c r="U7" s="52"/>
      <c r="V7" s="52"/>
      <c r="W7" s="53"/>
      <c r="X7" s="51"/>
      <c r="Y7" s="51"/>
      <c r="Z7" s="50"/>
      <c r="AA7" s="50"/>
      <c r="AB7" s="50"/>
      <c r="AC7" s="63"/>
    </row>
    <row r="8" spans="1:29" x14ac:dyDescent="0.25">
      <c r="A8" s="62"/>
      <c r="B8" s="58">
        <v>4</v>
      </c>
      <c r="C8" s="204" t="s">
        <v>22</v>
      </c>
      <c r="D8" s="204"/>
      <c r="E8" s="204"/>
      <c r="F8" s="204"/>
      <c r="G8" s="204"/>
      <c r="H8" s="204"/>
      <c r="I8" s="205">
        <v>0</v>
      </c>
      <c r="J8" s="205"/>
      <c r="K8" s="205">
        <v>0</v>
      </c>
      <c r="L8" s="205"/>
      <c r="M8" s="205">
        <f t="shared" si="0"/>
        <v>0</v>
      </c>
      <c r="N8" s="205"/>
      <c r="O8" s="50"/>
      <c r="P8" s="50"/>
      <c r="Q8" s="50"/>
      <c r="R8" s="50"/>
      <c r="S8" s="51"/>
      <c r="T8" s="51"/>
      <c r="U8" s="52"/>
      <c r="V8" s="52"/>
      <c r="W8" s="53"/>
      <c r="X8" s="51"/>
      <c r="Y8" s="51"/>
      <c r="Z8" s="50"/>
      <c r="AA8" s="50"/>
      <c r="AB8" s="50"/>
      <c r="AC8" s="63"/>
    </row>
    <row r="9" spans="1:29" x14ac:dyDescent="0.25">
      <c r="A9" s="62"/>
      <c r="B9" s="58">
        <v>9</v>
      </c>
      <c r="C9" s="204" t="s">
        <v>23</v>
      </c>
      <c r="D9" s="204"/>
      <c r="E9" s="204"/>
      <c r="F9" s="204"/>
      <c r="G9" s="204"/>
      <c r="H9" s="204"/>
      <c r="I9" s="205">
        <v>0</v>
      </c>
      <c r="J9" s="205"/>
      <c r="K9" s="205">
        <v>0</v>
      </c>
      <c r="L9" s="205"/>
      <c r="M9" s="205">
        <f t="shared" si="0"/>
        <v>0</v>
      </c>
      <c r="N9" s="205"/>
      <c r="O9" s="50"/>
      <c r="P9" s="50"/>
      <c r="Q9" s="50"/>
      <c r="R9" s="50"/>
      <c r="S9" s="51"/>
      <c r="T9" s="51"/>
      <c r="U9" s="54"/>
      <c r="V9" s="54"/>
      <c r="W9" s="53"/>
      <c r="X9" s="51"/>
      <c r="Y9" s="51"/>
      <c r="Z9" s="50"/>
      <c r="AA9" s="50"/>
      <c r="AB9" s="50"/>
      <c r="AC9" s="63"/>
    </row>
    <row r="10" spans="1:29" x14ac:dyDescent="0.25">
      <c r="A10" s="62"/>
      <c r="B10" s="58">
        <v>10</v>
      </c>
      <c r="C10" s="204" t="s">
        <v>24</v>
      </c>
      <c r="D10" s="204"/>
      <c r="E10" s="204"/>
      <c r="F10" s="204"/>
      <c r="G10" s="204"/>
      <c r="H10" s="204"/>
      <c r="I10" s="205">
        <v>3</v>
      </c>
      <c r="J10" s="205"/>
      <c r="K10" s="205">
        <v>1</v>
      </c>
      <c r="L10" s="205"/>
      <c r="M10" s="205">
        <f t="shared" si="0"/>
        <v>4</v>
      </c>
      <c r="N10" s="205"/>
      <c r="O10" s="50"/>
      <c r="P10" s="50"/>
      <c r="Q10" s="50"/>
      <c r="R10" s="50"/>
      <c r="S10" s="50"/>
      <c r="T10" s="50"/>
      <c r="U10" s="55"/>
      <c r="V10" s="55"/>
      <c r="W10" s="56"/>
      <c r="X10" s="50"/>
      <c r="Y10" s="50"/>
      <c r="Z10" s="50"/>
      <c r="AA10" s="50"/>
      <c r="AB10" s="50"/>
      <c r="AC10" s="63"/>
    </row>
    <row r="11" spans="1:29" x14ac:dyDescent="0.25">
      <c r="A11" s="62"/>
      <c r="B11" s="58">
        <v>12</v>
      </c>
      <c r="C11" s="204" t="s">
        <v>25</v>
      </c>
      <c r="D11" s="204"/>
      <c r="E11" s="204"/>
      <c r="F11" s="204"/>
      <c r="G11" s="204"/>
      <c r="H11" s="204"/>
      <c r="I11" s="205">
        <v>15</v>
      </c>
      <c r="J11" s="205"/>
      <c r="K11" s="205">
        <v>14</v>
      </c>
      <c r="L11" s="205"/>
      <c r="M11" s="205">
        <f t="shared" si="0"/>
        <v>29</v>
      </c>
      <c r="N11" s="205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63"/>
    </row>
    <row r="12" spans="1:29" x14ac:dyDescent="0.25">
      <c r="A12" s="62"/>
      <c r="B12" s="58">
        <v>13</v>
      </c>
      <c r="C12" s="206" t="s">
        <v>26</v>
      </c>
      <c r="D12" s="206"/>
      <c r="E12" s="206"/>
      <c r="F12" s="206"/>
      <c r="G12" s="206"/>
      <c r="H12" s="206"/>
      <c r="I12" s="207">
        <f>(I11/I5*100)</f>
        <v>83.333333333333343</v>
      </c>
      <c r="J12" s="207"/>
      <c r="K12" s="207">
        <f>(K11/K5*100)</f>
        <v>93.333333333333329</v>
      </c>
      <c r="L12" s="207"/>
      <c r="M12" s="207">
        <f>(M11/M5)*100</f>
        <v>87.878787878787875</v>
      </c>
      <c r="N12" s="207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63"/>
    </row>
    <row r="13" spans="1:29" x14ac:dyDescent="0.25">
      <c r="A13" s="200" t="s">
        <v>27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2"/>
    </row>
    <row r="14" spans="1:29" x14ac:dyDescent="0.25">
      <c r="A14" s="203" t="s">
        <v>28</v>
      </c>
      <c r="B14" s="199" t="s">
        <v>29</v>
      </c>
      <c r="C14" s="199"/>
      <c r="D14" s="199"/>
      <c r="E14" s="199" t="s">
        <v>19</v>
      </c>
      <c r="F14" s="199"/>
      <c r="G14" s="199"/>
      <c r="H14" s="199" t="s">
        <v>30</v>
      </c>
      <c r="I14" s="199"/>
      <c r="J14" s="199"/>
      <c r="K14" s="199" t="s">
        <v>31</v>
      </c>
      <c r="L14" s="199"/>
      <c r="M14" s="199"/>
      <c r="N14" s="199" t="s">
        <v>32</v>
      </c>
      <c r="O14" s="199"/>
      <c r="P14" s="199"/>
      <c r="Q14" s="199" t="s">
        <v>33</v>
      </c>
      <c r="R14" s="199"/>
      <c r="S14" s="199"/>
      <c r="T14" s="199" t="s">
        <v>34</v>
      </c>
      <c r="U14" s="199"/>
      <c r="V14" s="199"/>
      <c r="W14" s="199" t="s">
        <v>35</v>
      </c>
      <c r="X14" s="199"/>
      <c r="Y14" s="199"/>
      <c r="Z14" s="199" t="s">
        <v>36</v>
      </c>
      <c r="AA14" s="199"/>
      <c r="AB14" s="199"/>
      <c r="AC14" s="199" t="s">
        <v>37</v>
      </c>
    </row>
    <row r="15" spans="1:29" x14ac:dyDescent="0.25">
      <c r="A15" s="203"/>
      <c r="B15" s="199"/>
      <c r="C15" s="199"/>
      <c r="D15" s="199"/>
      <c r="E15" s="57" t="s">
        <v>15</v>
      </c>
      <c r="F15" s="57" t="s">
        <v>13</v>
      </c>
      <c r="G15" s="57" t="s">
        <v>38</v>
      </c>
      <c r="H15" s="57" t="s">
        <v>15</v>
      </c>
      <c r="I15" s="57" t="s">
        <v>13</v>
      </c>
      <c r="J15" s="57" t="s">
        <v>38</v>
      </c>
      <c r="K15" s="57" t="s">
        <v>15</v>
      </c>
      <c r="L15" s="57" t="s">
        <v>13</v>
      </c>
      <c r="M15" s="57" t="s">
        <v>38</v>
      </c>
      <c r="N15" s="57" t="s">
        <v>15</v>
      </c>
      <c r="O15" s="57" t="s">
        <v>13</v>
      </c>
      <c r="P15" s="57" t="s">
        <v>38</v>
      </c>
      <c r="Q15" s="57" t="s">
        <v>15</v>
      </c>
      <c r="R15" s="57" t="s">
        <v>13</v>
      </c>
      <c r="S15" s="57" t="s">
        <v>38</v>
      </c>
      <c r="T15" s="57" t="s">
        <v>15</v>
      </c>
      <c r="U15" s="57" t="s">
        <v>13</v>
      </c>
      <c r="V15" s="57" t="s">
        <v>38</v>
      </c>
      <c r="W15" s="57" t="s">
        <v>15</v>
      </c>
      <c r="X15" s="57" t="s">
        <v>13</v>
      </c>
      <c r="Y15" s="57" t="s">
        <v>38</v>
      </c>
      <c r="Z15" s="57" t="s">
        <v>15</v>
      </c>
      <c r="AA15" s="57" t="s">
        <v>13</v>
      </c>
      <c r="AB15" s="57" t="s">
        <v>38</v>
      </c>
      <c r="AC15" s="199"/>
    </row>
    <row r="16" spans="1:29" ht="15" customHeight="1" x14ac:dyDescent="0.25">
      <c r="A16" s="58">
        <v>1</v>
      </c>
      <c r="B16" s="195" t="s">
        <v>247</v>
      </c>
      <c r="C16" s="195"/>
      <c r="D16" s="195"/>
      <c r="E16" s="58">
        <v>18</v>
      </c>
      <c r="F16" s="58">
        <v>15</v>
      </c>
      <c r="G16" s="58">
        <f>SUM(E16+F16)</f>
        <v>33</v>
      </c>
      <c r="H16" s="58">
        <v>17</v>
      </c>
      <c r="I16" s="58">
        <v>15</v>
      </c>
      <c r="J16" s="58">
        <f>SUM(H16+I16)</f>
        <v>32</v>
      </c>
      <c r="K16" s="58">
        <v>1</v>
      </c>
      <c r="L16" s="58">
        <v>0</v>
      </c>
      <c r="M16" s="58">
        <f>SUM(K16+L16)</f>
        <v>1</v>
      </c>
      <c r="N16" s="58">
        <v>0</v>
      </c>
      <c r="O16" s="58">
        <v>0</v>
      </c>
      <c r="P16" s="58">
        <f>SUM(N16+O16)</f>
        <v>0</v>
      </c>
      <c r="Q16" s="58">
        <v>0</v>
      </c>
      <c r="R16" s="58">
        <v>0</v>
      </c>
      <c r="S16" s="58">
        <f>SUM(Q16+R16)</f>
        <v>0</v>
      </c>
      <c r="T16" s="58">
        <v>0</v>
      </c>
      <c r="U16" s="58">
        <v>0</v>
      </c>
      <c r="V16" s="58">
        <f>SUM(T16+U16)</f>
        <v>0</v>
      </c>
      <c r="W16" s="58">
        <f>SUM(H16,K16,N16,Q16)</f>
        <v>18</v>
      </c>
      <c r="X16" s="58">
        <f>SUM(I16,L16,O16,R16,U16,)</f>
        <v>15</v>
      </c>
      <c r="Y16" s="58">
        <f>SUM(W16+X16)</f>
        <v>33</v>
      </c>
      <c r="Z16" s="77">
        <f>(W16*100/E16)</f>
        <v>100</v>
      </c>
      <c r="AA16" s="77">
        <f>(X16*100)/F16</f>
        <v>100</v>
      </c>
      <c r="AB16" s="77">
        <f>Y16*100/G16</f>
        <v>100</v>
      </c>
      <c r="AC16" s="78" t="s">
        <v>43</v>
      </c>
    </row>
    <row r="17" spans="1:29" x14ac:dyDescent="0.25">
      <c r="A17" s="59">
        <v>2</v>
      </c>
      <c r="B17" s="195" t="s">
        <v>320</v>
      </c>
      <c r="C17" s="195"/>
      <c r="D17" s="195"/>
      <c r="E17" s="58">
        <v>18</v>
      </c>
      <c r="F17" s="58">
        <v>15</v>
      </c>
      <c r="G17" s="58">
        <f t="shared" ref="G17:G21" si="1">SUM(E17+F17)</f>
        <v>33</v>
      </c>
      <c r="H17" s="59">
        <v>16</v>
      </c>
      <c r="I17" s="59">
        <v>15</v>
      </c>
      <c r="J17" s="58">
        <f t="shared" ref="J17:J21" si="2">SUM(H17+I17)</f>
        <v>31</v>
      </c>
      <c r="K17" s="59">
        <v>0</v>
      </c>
      <c r="L17" s="59">
        <v>0</v>
      </c>
      <c r="M17" s="58">
        <f t="shared" ref="M17:M21" si="3">SUM(K17+L17)</f>
        <v>0</v>
      </c>
      <c r="N17" s="59">
        <v>0</v>
      </c>
      <c r="O17" s="59">
        <v>0</v>
      </c>
      <c r="P17" s="58">
        <f t="shared" ref="P17:P21" si="4">SUM(N17+O17)</f>
        <v>0</v>
      </c>
      <c r="Q17" s="58">
        <v>0</v>
      </c>
      <c r="R17" s="58">
        <v>0</v>
      </c>
      <c r="S17" s="58">
        <f t="shared" ref="S17:S21" si="5">SUM(Q17+R17)</f>
        <v>0</v>
      </c>
      <c r="T17" s="59">
        <v>2</v>
      </c>
      <c r="U17" s="59">
        <v>0</v>
      </c>
      <c r="V17" s="58">
        <f t="shared" ref="V17:V21" si="6">SUM(T17+U17)</f>
        <v>2</v>
      </c>
      <c r="W17" s="58">
        <f t="shared" ref="W17:X21" si="7">SUM(H17,K17,N17,Q17)</f>
        <v>16</v>
      </c>
      <c r="X17" s="58">
        <f t="shared" ref="X17" si="8">SUM(I17,L17,O17,R17,U17,)</f>
        <v>15</v>
      </c>
      <c r="Y17" s="58">
        <f t="shared" ref="Y17:Y21" si="9">SUM(W17+X17)</f>
        <v>31</v>
      </c>
      <c r="Z17" s="77">
        <f t="shared" ref="Z17:Z21" si="10">(W17*100/E17)</f>
        <v>88.888888888888886</v>
      </c>
      <c r="AA17" s="77">
        <f t="shared" ref="AA17:AA21" si="11">(X17*100)/F17</f>
        <v>100</v>
      </c>
      <c r="AB17" s="77">
        <f t="shared" ref="AB17:AB21" si="12">Y17*100/G17</f>
        <v>93.939393939393938</v>
      </c>
      <c r="AC17" s="79" t="s">
        <v>42</v>
      </c>
    </row>
    <row r="18" spans="1:29" x14ac:dyDescent="0.25">
      <c r="A18" s="59">
        <v>3</v>
      </c>
      <c r="B18" s="195" t="s">
        <v>316</v>
      </c>
      <c r="C18" s="195"/>
      <c r="D18" s="195"/>
      <c r="E18" s="58">
        <v>18</v>
      </c>
      <c r="F18" s="58">
        <v>15</v>
      </c>
      <c r="G18" s="58">
        <f t="shared" si="1"/>
        <v>33</v>
      </c>
      <c r="H18" s="59">
        <v>12</v>
      </c>
      <c r="I18" s="59">
        <v>12</v>
      </c>
      <c r="J18" s="58">
        <f t="shared" si="2"/>
        <v>24</v>
      </c>
      <c r="K18" s="59">
        <v>2</v>
      </c>
      <c r="L18" s="59">
        <v>2</v>
      </c>
      <c r="M18" s="58">
        <f t="shared" si="3"/>
        <v>4</v>
      </c>
      <c r="N18" s="59">
        <v>4</v>
      </c>
      <c r="O18" s="59">
        <v>0</v>
      </c>
      <c r="P18" s="58">
        <f t="shared" si="4"/>
        <v>4</v>
      </c>
      <c r="Q18" s="58">
        <v>0</v>
      </c>
      <c r="R18" s="58">
        <v>0</v>
      </c>
      <c r="S18" s="58">
        <f t="shared" si="5"/>
        <v>0</v>
      </c>
      <c r="T18" s="59">
        <v>0</v>
      </c>
      <c r="U18" s="59">
        <v>1</v>
      </c>
      <c r="V18" s="58">
        <f t="shared" si="6"/>
        <v>1</v>
      </c>
      <c r="W18" s="58">
        <f t="shared" si="7"/>
        <v>18</v>
      </c>
      <c r="X18" s="58">
        <f t="shared" si="7"/>
        <v>14</v>
      </c>
      <c r="Y18" s="58">
        <f t="shared" si="9"/>
        <v>32</v>
      </c>
      <c r="Z18" s="77">
        <f t="shared" si="10"/>
        <v>100</v>
      </c>
      <c r="AA18" s="77">
        <f t="shared" si="11"/>
        <v>93.333333333333329</v>
      </c>
      <c r="AB18" s="77">
        <f t="shared" si="12"/>
        <v>96.969696969696969</v>
      </c>
      <c r="AC18" s="79" t="s">
        <v>39</v>
      </c>
    </row>
    <row r="19" spans="1:29" ht="15" customHeight="1" x14ac:dyDescent="0.25">
      <c r="A19" s="59">
        <v>4</v>
      </c>
      <c r="B19" s="194" t="s">
        <v>321</v>
      </c>
      <c r="C19" s="194"/>
      <c r="D19" s="194"/>
      <c r="E19" s="58">
        <v>18</v>
      </c>
      <c r="F19" s="58">
        <v>15</v>
      </c>
      <c r="G19" s="58">
        <f t="shared" si="1"/>
        <v>33</v>
      </c>
      <c r="H19" s="59">
        <v>18</v>
      </c>
      <c r="I19" s="59">
        <v>15</v>
      </c>
      <c r="J19" s="58">
        <f t="shared" si="2"/>
        <v>33</v>
      </c>
      <c r="K19" s="59">
        <v>0</v>
      </c>
      <c r="L19" s="59">
        <v>0</v>
      </c>
      <c r="M19" s="58">
        <f t="shared" si="3"/>
        <v>0</v>
      </c>
      <c r="N19" s="59">
        <v>0</v>
      </c>
      <c r="O19" s="59">
        <v>0</v>
      </c>
      <c r="P19" s="58">
        <f t="shared" si="4"/>
        <v>0</v>
      </c>
      <c r="Q19" s="58">
        <v>0</v>
      </c>
      <c r="R19" s="58">
        <v>0</v>
      </c>
      <c r="S19" s="58">
        <f t="shared" si="5"/>
        <v>0</v>
      </c>
      <c r="T19" s="59">
        <v>0</v>
      </c>
      <c r="U19" s="59">
        <v>0</v>
      </c>
      <c r="V19" s="58">
        <f t="shared" si="6"/>
        <v>0</v>
      </c>
      <c r="W19" s="58">
        <f t="shared" si="7"/>
        <v>18</v>
      </c>
      <c r="X19" s="58">
        <f t="shared" si="7"/>
        <v>15</v>
      </c>
      <c r="Y19" s="58">
        <f t="shared" si="9"/>
        <v>33</v>
      </c>
      <c r="Z19" s="77">
        <f t="shared" si="10"/>
        <v>100</v>
      </c>
      <c r="AA19" s="77">
        <f t="shared" si="11"/>
        <v>100</v>
      </c>
      <c r="AB19" s="77">
        <f t="shared" si="12"/>
        <v>100</v>
      </c>
      <c r="AC19" s="79" t="s">
        <v>325</v>
      </c>
    </row>
    <row r="20" spans="1:29" x14ac:dyDescent="0.25">
      <c r="A20" s="59">
        <v>5</v>
      </c>
      <c r="B20" s="194" t="s">
        <v>318</v>
      </c>
      <c r="C20" s="194"/>
      <c r="D20" s="194"/>
      <c r="E20" s="58">
        <v>18</v>
      </c>
      <c r="F20" s="58">
        <v>15</v>
      </c>
      <c r="G20" s="58">
        <f t="shared" si="1"/>
        <v>33</v>
      </c>
      <c r="H20" s="59">
        <v>17</v>
      </c>
      <c r="I20" s="59">
        <v>15</v>
      </c>
      <c r="J20" s="58">
        <f t="shared" si="2"/>
        <v>32</v>
      </c>
      <c r="K20" s="59">
        <v>0</v>
      </c>
      <c r="L20" s="59">
        <v>0</v>
      </c>
      <c r="M20" s="58">
        <f t="shared" si="3"/>
        <v>0</v>
      </c>
      <c r="N20" s="59">
        <v>1</v>
      </c>
      <c r="O20" s="59">
        <v>0</v>
      </c>
      <c r="P20" s="58">
        <f t="shared" si="4"/>
        <v>1</v>
      </c>
      <c r="Q20" s="58">
        <v>0</v>
      </c>
      <c r="R20" s="58">
        <v>0</v>
      </c>
      <c r="S20" s="58">
        <f t="shared" si="5"/>
        <v>0</v>
      </c>
      <c r="T20" s="59">
        <v>0</v>
      </c>
      <c r="U20" s="59">
        <v>0</v>
      </c>
      <c r="V20" s="58">
        <f t="shared" si="6"/>
        <v>0</v>
      </c>
      <c r="W20" s="58">
        <f t="shared" si="7"/>
        <v>18</v>
      </c>
      <c r="X20" s="58">
        <f t="shared" si="7"/>
        <v>15</v>
      </c>
      <c r="Y20" s="58">
        <f t="shared" si="9"/>
        <v>33</v>
      </c>
      <c r="Z20" s="77">
        <f t="shared" si="10"/>
        <v>100</v>
      </c>
      <c r="AA20" s="77">
        <f t="shared" si="11"/>
        <v>100</v>
      </c>
      <c r="AB20" s="77">
        <f t="shared" si="12"/>
        <v>100</v>
      </c>
      <c r="AC20" s="79" t="s">
        <v>326</v>
      </c>
    </row>
    <row r="21" spans="1:29" x14ac:dyDescent="0.25">
      <c r="A21" s="59">
        <v>6</v>
      </c>
      <c r="B21" s="195" t="s">
        <v>319</v>
      </c>
      <c r="C21" s="196"/>
      <c r="D21" s="196"/>
      <c r="E21" s="58">
        <v>18</v>
      </c>
      <c r="F21" s="58">
        <v>15</v>
      </c>
      <c r="G21" s="58">
        <f t="shared" si="1"/>
        <v>33</v>
      </c>
      <c r="H21" s="59">
        <v>14</v>
      </c>
      <c r="I21" s="59">
        <v>15</v>
      </c>
      <c r="J21" s="58">
        <f t="shared" si="2"/>
        <v>29</v>
      </c>
      <c r="K21" s="59">
        <v>3</v>
      </c>
      <c r="L21" s="59">
        <v>0</v>
      </c>
      <c r="M21" s="58">
        <f t="shared" si="3"/>
        <v>3</v>
      </c>
      <c r="N21" s="59">
        <v>0</v>
      </c>
      <c r="O21" s="59">
        <v>0</v>
      </c>
      <c r="P21" s="58">
        <f t="shared" si="4"/>
        <v>0</v>
      </c>
      <c r="Q21" s="58">
        <v>0</v>
      </c>
      <c r="R21" s="58">
        <v>0</v>
      </c>
      <c r="S21" s="58">
        <f t="shared" si="5"/>
        <v>0</v>
      </c>
      <c r="T21" s="59">
        <v>1</v>
      </c>
      <c r="U21" s="59">
        <v>0</v>
      </c>
      <c r="V21" s="58">
        <f t="shared" si="6"/>
        <v>1</v>
      </c>
      <c r="W21" s="58">
        <f t="shared" si="7"/>
        <v>17</v>
      </c>
      <c r="X21" s="58">
        <f t="shared" si="7"/>
        <v>15</v>
      </c>
      <c r="Y21" s="58">
        <f t="shared" si="9"/>
        <v>32</v>
      </c>
      <c r="Z21" s="77">
        <f t="shared" si="10"/>
        <v>94.444444444444443</v>
      </c>
      <c r="AA21" s="77">
        <f t="shared" si="11"/>
        <v>100</v>
      </c>
      <c r="AB21" s="77">
        <f t="shared" si="12"/>
        <v>96.969696969696969</v>
      </c>
      <c r="AC21" s="79" t="s">
        <v>325</v>
      </c>
    </row>
    <row r="22" spans="1:29" x14ac:dyDescent="0.25">
      <c r="A22" s="197" t="s">
        <v>40</v>
      </c>
      <c r="B22" s="198"/>
      <c r="C22" s="60" t="s">
        <v>336</v>
      </c>
      <c r="D22" s="60"/>
      <c r="E22" s="60"/>
      <c r="F22" s="60"/>
      <c r="G22" s="60"/>
      <c r="H22" s="60"/>
      <c r="I22" s="60"/>
      <c r="J22" s="60"/>
      <c r="K22" s="64"/>
      <c r="L22" s="64"/>
      <c r="M22" s="64"/>
      <c r="N22" s="64"/>
      <c r="O22" s="64"/>
      <c r="P22" s="76" t="s">
        <v>337</v>
      </c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5"/>
      <c r="AB22" s="65"/>
      <c r="AC22" s="66"/>
    </row>
    <row r="23" spans="1:29" x14ac:dyDescent="0.25">
      <c r="A23" s="67"/>
      <c r="B23" s="61"/>
      <c r="C23" s="61" t="s">
        <v>338</v>
      </c>
      <c r="D23" s="60"/>
      <c r="E23" s="60"/>
      <c r="F23" s="60"/>
      <c r="G23" s="60"/>
      <c r="H23" s="60"/>
      <c r="I23" s="60"/>
      <c r="J23" s="60"/>
      <c r="K23" s="64"/>
      <c r="L23" s="64"/>
      <c r="M23" s="64"/>
      <c r="N23" s="64"/>
      <c r="O23" s="64"/>
      <c r="P23" s="76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5"/>
      <c r="AB23" s="65"/>
      <c r="AC23" s="66"/>
    </row>
    <row r="24" spans="1:29" x14ac:dyDescent="0.25">
      <c r="A24" s="67"/>
      <c r="B24" s="61"/>
      <c r="C24" s="61"/>
      <c r="D24" s="61"/>
      <c r="E24" s="61"/>
      <c r="F24" s="61"/>
      <c r="G24" s="61"/>
      <c r="H24" s="61"/>
      <c r="I24" s="61"/>
      <c r="J24" s="61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6"/>
    </row>
    <row r="25" spans="1:29" x14ac:dyDescent="0.25">
      <c r="A25" s="68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6"/>
    </row>
    <row r="26" spans="1:29" x14ac:dyDescent="0.25">
      <c r="A26" s="69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0"/>
      <c r="P26" s="70"/>
      <c r="Q26" s="70"/>
      <c r="R26" s="70"/>
      <c r="S26" s="70"/>
      <c r="T26" s="71"/>
      <c r="U26" s="71"/>
      <c r="V26" s="71"/>
      <c r="W26" s="71"/>
      <c r="X26" s="71"/>
      <c r="Y26" s="71"/>
      <c r="Z26" s="70"/>
      <c r="AA26" s="70"/>
      <c r="AB26" s="70"/>
      <c r="AC26" s="72"/>
    </row>
    <row r="27" spans="1:29" x14ac:dyDescent="0.25">
      <c r="A27" s="69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2"/>
    </row>
    <row r="28" spans="1:29" x14ac:dyDescent="0.25">
      <c r="A28" s="69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2"/>
    </row>
    <row r="29" spans="1:29" x14ac:dyDescent="0.25">
      <c r="A29" s="69"/>
      <c r="B29" s="70" t="s">
        <v>44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0" t="s">
        <v>45</v>
      </c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0" t="s">
        <v>46</v>
      </c>
      <c r="AA29" s="71"/>
      <c r="AB29" s="71"/>
      <c r="AC29" s="72"/>
    </row>
    <row r="30" spans="1:29" x14ac:dyDescent="0.25">
      <c r="A30" s="69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2"/>
    </row>
    <row r="31" spans="1:29" x14ac:dyDescent="0.25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5"/>
    </row>
  </sheetData>
  <mergeCells count="59">
    <mergeCell ref="A22:B22"/>
    <mergeCell ref="A1:AC1"/>
    <mergeCell ref="A2:AC2"/>
    <mergeCell ref="A3:AC3"/>
    <mergeCell ref="C4:H4"/>
    <mergeCell ref="I4:J4"/>
    <mergeCell ref="K4:L4"/>
    <mergeCell ref="M4:N4"/>
    <mergeCell ref="P4:X4"/>
    <mergeCell ref="C5:H5"/>
    <mergeCell ref="I5:J5"/>
    <mergeCell ref="K5:L5"/>
    <mergeCell ref="M5:N5"/>
    <mergeCell ref="C6:H6"/>
    <mergeCell ref="I6:J6"/>
    <mergeCell ref="K6:L6"/>
    <mergeCell ref="M6:N6"/>
    <mergeCell ref="C7:H7"/>
    <mergeCell ref="I7:J7"/>
    <mergeCell ref="K7:L7"/>
    <mergeCell ref="M7:N7"/>
    <mergeCell ref="C8:H8"/>
    <mergeCell ref="I8:J8"/>
    <mergeCell ref="K8:L8"/>
    <mergeCell ref="M8:N8"/>
    <mergeCell ref="C9:H9"/>
    <mergeCell ref="I9:J9"/>
    <mergeCell ref="K9:L9"/>
    <mergeCell ref="M9:N9"/>
    <mergeCell ref="C10:H10"/>
    <mergeCell ref="I10:J10"/>
    <mergeCell ref="K10:L10"/>
    <mergeCell ref="M10:N10"/>
    <mergeCell ref="C11:H11"/>
    <mergeCell ref="I11:J11"/>
    <mergeCell ref="K11:L11"/>
    <mergeCell ref="M11:N11"/>
    <mergeCell ref="C12:H12"/>
    <mergeCell ref="I12:J12"/>
    <mergeCell ref="K12:L12"/>
    <mergeCell ref="M12:N12"/>
    <mergeCell ref="B19:D19"/>
    <mergeCell ref="A13:AC13"/>
    <mergeCell ref="A14:A15"/>
    <mergeCell ref="B14:D15"/>
    <mergeCell ref="E14:G14"/>
    <mergeCell ref="H14:J14"/>
    <mergeCell ref="K14:M14"/>
    <mergeCell ref="N14:P14"/>
    <mergeCell ref="Q14:S14"/>
    <mergeCell ref="T14:V14"/>
    <mergeCell ref="W14:Y14"/>
    <mergeCell ref="Z14:AB14"/>
    <mergeCell ref="B21:D21"/>
    <mergeCell ref="AC14:AC15"/>
    <mergeCell ref="B16:D16"/>
    <mergeCell ref="B17:D17"/>
    <mergeCell ref="B18:D18"/>
    <mergeCell ref="B20:D20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 7th SEM CSE A DIV (2)</vt:lpstr>
      <vt:lpstr>CSE 7th SEM A DIV</vt:lpstr>
      <vt:lpstr>Sheet3</vt:lpstr>
      <vt:lpstr>CSE 7th semB Div</vt:lpstr>
      <vt:lpstr>AIML 7TH SEM(JAN-26)</vt:lpstr>
      <vt:lpstr> 7th SEM CSE A DIV</vt:lpstr>
      <vt:lpstr>7th Sem CSE B</vt:lpstr>
      <vt:lpstr>7th Sem AIML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CSE-DEPT</dc:creator>
  <cp:lastModifiedBy>MAHESH</cp:lastModifiedBy>
  <cp:lastPrinted>2026-02-07T17:47:10Z</cp:lastPrinted>
  <dcterms:created xsi:type="dcterms:W3CDTF">2024-09-09T04:02:35Z</dcterms:created>
  <dcterms:modified xsi:type="dcterms:W3CDTF">2026-02-08T07:13:25Z</dcterms:modified>
</cp:coreProperties>
</file>